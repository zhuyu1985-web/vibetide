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<sst xmlns="http://schemas.openxmlformats.org/spreadsheetml/2006/main" count="224" uniqueCount="68">
  <si>
    <t>统计来源：共享表格《2024年线下生态文明宣传活动信息收集表》</t>
  </si>
  <si>
    <t>主题1</t>
  </si>
  <si>
    <t>主题2</t>
  </si>
  <si>
    <t>主题3</t>
  </si>
  <si>
    <t>主题4</t>
  </si>
  <si>
    <t>主题5</t>
  </si>
  <si>
    <t>*输入日期保存为数值</t>
  </si>
  <si>
    <t>活动场数</t>
  </si>
  <si>
    <t>活动总数</t>
  </si>
  <si>
    <t>传播速度</t>
  </si>
  <si>
    <t>序号</t>
  </si>
  <si>
    <t>区县</t>
  </si>
  <si>
    <t>六五环境日</t>
  </si>
  <si>
    <t>815全国生态日</t>
  </si>
  <si>
    <t>志愿服务活动</t>
  </si>
  <si>
    <t>环保设施向公众开放</t>
  </si>
  <si>
    <t>美丽重庆六进活动</t>
  </si>
  <si>
    <t>最晚日期</t>
  </si>
  <si>
    <t>最早日期</t>
  </si>
  <si>
    <t>计算值</t>
  </si>
  <si>
    <t>粘贴值</t>
  </si>
  <si>
    <t>万州区</t>
  </si>
  <si>
    <t>黔江区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</si>
  <si>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</si>
  <si>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</si>
  <si>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</si>
  <si>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</si>
  <si>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</si>
  <si>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</si>
  <si>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</si>
  <si>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巴南区</t>
  </si>
  <si>
    <t>长寿区</t>
  </si>
  <si>
    <t>江津区</t>
  </si>
  <si>
    <t>合川区</t>
  </si>
  <si>
    <t>永川区</t>
  </si>
  <si>
    <t>南川区</t>
  </si>
  <si>
    <t>綦江区</t>
  </si>
  <si>
    <t>大足区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</si>
  <si>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</si>
  <si>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</si>
  <si>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</si>
  <si>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</si>
  <si>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</si>
  <si>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</si>
  <si>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</si>
  <si>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</si>
  <si>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</si>
  <si>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</si>
  <si>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</si>
  <si>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</si>
  <si>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</si>
  <si>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</si>
  <si>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</si>
  <si>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石柱县</t>
  </si>
  <si>
    <t>秀山县</t>
  </si>
  <si>
    <t>酉阳县</t>
  </si>
  <si>
    <t>彭水县</t>
  </si>
  <si>
    <t>西部科学城重庆高新区</t>
  </si>
  <si>
    <t>万盛经开区</t>
  </si>
  <si>
    <t>两江新区</t>
  </si>
  <si>
    <t>比例值</t>
  </si>
  <si>
    <t>平均比例</t>
  </si>
  <si>
    <t>比例差值</t>
  </si>
  <si>
    <t>比例差值和</t>
  </si>
  <si>
    <t>的倒数</t>
  </si>
  <si>
    <t>sum</t>
  </si>
  <si>
    <t>1/sum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</si>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</sst>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0" fillId="0" borderId="2" xfId="0" applyNumberFormat="1" applyFill="1" applyBorder="1" applyAlignment="1">
      <alignment vertical="center"/>
    </xf>
    <xf numFmtId="10" fontId="0" fillId="0" borderId="2" xfId="3" applyNumberFormat="1" applyBorder="1">
      <alignment vertical="center"/>
    </xf>
    <xf numFmtId="178" fontId="0" fillId="0" borderId="0" xfId="0" applyNumberFormat="1" applyFill="1" applyAlignment="1">
      <alignment vertical="center"/>
    </xf>
    <xf numFmtId="10" fontId="0" fillId="0" borderId="0" xfId="3" applyNumberFormat="1" applyFill="1" applyAlignment="1">
      <alignment horizontal="center" vertical="center"/>
    </xf>
    <xf numFmtId="176" fontId="0" fillId="3" borderId="0" xfId="0" applyNumberFormat="1" applyFill="1" applyAlignment="1">
      <alignment vertical="center"/>
    </xf>
    <xf numFmtId="10" fontId="0" fillId="3" borderId="0" xfId="3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89"/>
  <sheetViews>
    <sheetView tabSelected="1" zoomScale="135" zoomScaleNormal="135" workbookViewId="0">
      <selection activeCell="I20" sqref="I20"/>
    </sheetView>
  </sheetViews>
  <sheetFormatPr defaultColWidth="8.73076923076923" defaultRowHeight="16.8"/>
  <cols>
    <col min="1" max="3" width="8.73076923076923" style="1"/>
    <col min="4" max="4" width="12.8173076923077" style="1"/>
    <col min="5" max="5" width="11.8173076923077" style="1" customWidth="1"/>
    <col min="6" max="7" width="12.8173076923077" style="1"/>
    <col min="8" max="8" width="12.4423076923077" style="3" customWidth="1"/>
    <col min="9" max="9" width="11.6538461538462" style="3" customWidth="1"/>
    <col min="10" max="10" width="9.45192307692308" style="1" customWidth="1"/>
    <col min="11" max="11" width="12.8173076923077" style="1"/>
    <col min="12" max="12" width="9.08653846153846" style="1" customWidth="1"/>
    <col min="13" max="13" width="12.8173076923077" style="3"/>
    <col min="14" max="14" width="12.8173076923077" style="1"/>
    <col min="15" max="16" width="8.73076923076923" style="1"/>
    <col min="17" max="17" width="24.8461538461538" style="1" customWidth="1"/>
    <col min="18" max="18" width="12.8173076923077" style="1"/>
    <col min="19" max="23" width="8.73076923076923" style="1"/>
    <col min="24" max="24" width="12.8173076923077" style="1"/>
    <col min="25" max="26" width="10.2211538461538" style="1" customWidth="1"/>
    <col min="27" max="27" width="12.8173076923077" style="1"/>
    <col min="28" max="28" width="8.75" style="1" customWidth="1"/>
    <col min="29" max="32" width="8.73076923076923" style="1"/>
    <col min="33" max="33" width="9.90384615384615" style="1" customWidth="1"/>
    <col min="34" max="16384" width="8.73076923076923" style="1"/>
  </cols>
  <sheetData>
    <row r="1" s="1" customFormat="1" spans="2:13">
      <c r="C1" s="4" t="s">
        <v>0</v>
      </c>
      <c r="D1" s="4"/>
      <c r="E1" s="4"/>
      <c r="F1" s="4"/>
      <c r="G1" s="4"/>
      <c r="H1" s="5"/>
      <c r="I1" s="5"/>
      <c r="M1" s="3"/>
    </row>
    <row r="2" s="1" customFormat="1" spans="2:13">
      <c r="D2" s="1" t="s">
        <v>1</v>
      </c>
      <c r="E2" s="1" t="s">
        <v>2</v>
      </c>
      <c r="F2" s="1" t="s">
        <v>3</v>
      </c>
      <c r="G2" s="1" t="s">
        <v>4</v>
      </c>
      <c r="H2" s="3" t="s">
        <v>5</v>
      </c>
      <c r="I2" s="3"/>
      <c r="J2" s="4" t="s">
        <v>6</v>
      </c>
      <c r="K2" s="6"/>
      <c r="L2" s="4"/>
      <c r="M2" s="3"/>
    </row>
    <row r="3" s="1" customFormat="1" spans="2:13">
      <c r="D3" s="1" t="s">
        <v>7</v>
      </c>
      <c r="E3" s="1" t="s">
        <v>7</v>
      </c>
      <c r="F3" s="1" t="s">
        <v>7</v>
      </c>
      <c r="G3" s="1" t="s">
        <v>7</v>
      </c>
      <c r="H3" s="3" t="s">
        <v>7</v>
      </c>
      <c r="I3" s="3" t="s">
        <v>8</v>
      </c>
      <c r="J3" s="1" t="s">
        <v>9</v>
      </c>
      <c r="K3" s="1" t="s">
        <v>9</v>
      </c>
      <c r="L3" s="1" t="s">
        <v>9</v>
      </c>
      <c r="M3" s="3" t="s">
        <v>9</v>
      </c>
    </row>
    <row r="4" s="2" customFormat="1" spans="2:13">
      <c r="B4" s="2" t="s">
        <v>10</v>
      </c>
      <c r="C4" s="7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8" t="s">
        <v>16</v>
      </c>
      <c r="I4" s="8"/>
      <c r="J4" s="2" t="s">
        <v>17</v>
      </c>
      <c r="K4" s="2" t="s">
        <v>18</v>
      </c>
      <c r="L4" s="2" t="s">
        <v>19</v>
      </c>
      <c r="M4" s="8" t="s">
        <v>20</v>
      </c>
    </row>
    <row r="5" s="1" customFormat="1" spans="2:13">
      <c r="B5" s="9">
        <v>1</v>
      </c>
      <c r="C5" s="10" t="s">
        <v>21</v>
      </c>
      <c r="D5" s="11">
        <v>5</v>
      </c>
      <c r="E5" s="11">
        <v>1</v>
      </c>
      <c r="F5" s="11">
        <v>3</v>
      </c>
      <c r="G5" s="11">
        <v>1</v>
      </c>
      <c r="H5" s="12">
        <v>2</v>
      </c>
      <c r="I5" s="12">
        <f t="shared" ref="I5:I13" si="0">SUM(D5:H5)</f>
        <v>12</v>
      </c>
      <c r="J5" s="13">
        <v>45995</v>
      </c>
      <c r="K5" s="13">
        <v>45809</v>
      </c>
      <c r="L5" s="13">
        <f t="shared" ref="L5:L13" si="1">I5/(J5-K5)</f>
        <v>0.0645161290322581</v>
      </c>
      <c r="M5" s="14">
        <v>0.117021276595745</v>
      </c>
    </row>
    <row r="6" s="1" customFormat="1" spans="2:13">
      <c r="B6" s="9">
        <v>2</v>
      </c>
      <c r="C6" s="10" t="s">
        <v>22</v>
      </c>
      <c r="D6" s="15">
        <v>1</v>
      </c>
      <c r="E6" s="15">
        <v>1</v>
      </c>
      <c r="F6" s="15">
        <v>18</v>
      </c>
      <c r="G6" s="15">
        <v>18</v>
      </c>
      <c r="H6" s="16">
        <v>5</v>
      </c>
      <c r="I6" s="17">
        <f t="shared" si="0"/>
        <v>43</v>
      </c>
      <c r="J6" s="18">
        <v>46022</v>
      </c>
      <c r="K6" s="18">
        <v>45756</v>
      </c>
      <c r="L6" s="19">
        <f t="shared" si="1"/>
        <v>0.161654135338346</v>
      </c>
      <c r="M6" s="20">
        <v>0.331683168316832</v>
      </c>
    </row>
    <row r="7" s="1" customFormat="1" spans="2:13">
      <c r="B7" s="9">
        <v>3</v>
      </c>
      <c r="C7" s="10" t="s">
        <v>23</v>
      </c>
      <c r="D7" s="15">
        <v>7</v>
      </c>
      <c r="E7" s="15">
        <v>2</v>
      </c>
      <c r="F7" s="15">
        <v>12</v>
      </c>
      <c r="G7" s="15">
        <v>37</v>
      </c>
      <c r="H7" s="16">
        <v>17</v>
      </c>
      <c r="I7" s="17">
        <f t="shared" si="0"/>
        <v>75</v>
      </c>
      <c r="J7" s="18">
        <v>46009</v>
      </c>
      <c r="K7" s="18">
        <v>45696</v>
      </c>
      <c r="L7" s="19">
        <f t="shared" si="1"/>
        <v>0.23961661341853</v>
      </c>
      <c r="M7" s="20">
        <v>0.127272727272727</v>
      </c>
    </row>
    <row r="8" s="1" customFormat="1" spans="2:13">
      <c r="B8" s="9">
        <v>4</v>
      </c>
      <c r="C8" s="10" t="s">
        <v>24</v>
      </c>
      <c r="D8" s="15">
        <v>5</v>
      </c>
      <c r="E8" s="15">
        <v>2</v>
      </c>
      <c r="F8" s="15">
        <v>11</v>
      </c>
      <c r="G8" s="15">
        <v>28</v>
      </c>
      <c r="H8" s="16">
        <v>42</v>
      </c>
      <c r="I8" s="17">
        <f t="shared" si="0"/>
        <v>88</v>
      </c>
      <c r="J8" s="18">
        <v>46017</v>
      </c>
      <c r="K8" s="18">
        <v>45702</v>
      </c>
      <c r="L8" s="19">
        <f t="shared" si="1"/>
        <v>0.279365079365079</v>
      </c>
      <c r="M8" s="20">
        <v>0.127450980392157</v>
      </c>
    </row>
    <row r="9" s="1" customFormat="1" spans="2:13">
      <c r="B9" s="9">
        <v>5</v>
      </c>
      <c r="C9" s="10" t="s">
        <v>25</v>
      </c>
      <c r="D9" s="15">
        <v>4</v>
      </c>
      <c r="E9" s="15">
        <v>1</v>
      </c>
      <c r="F9" s="15">
        <v>12</v>
      </c>
      <c r="G9" s="15">
        <v>6</v>
      </c>
      <c r="H9" s="16">
        <v>6</v>
      </c>
      <c r="I9" s="17">
        <f t="shared" si="0"/>
        <v>29</v>
      </c>
      <c r="J9" s="18">
        <v>46382</v>
      </c>
      <c r="K9" s="18">
        <v>45715</v>
      </c>
      <c r="L9" s="19">
        <f t="shared" si="1"/>
        <v>0.0434782608695652</v>
      </c>
      <c r="M9" s="20">
        <v>0.0761245674740484</v>
      </c>
    </row>
    <row r="10" s="1" customFormat="1" spans="2:13">
      <c r="B10" s="9">
        <v>6</v>
      </c>
      <c r="C10" s="10" t="s">
        <v>26</v>
      </c>
      <c r="D10" s="15">
        <v>19</v>
      </c>
      <c r="E10" s="15">
        <v>1</v>
      </c>
      <c r="F10" s="15">
        <v>12</v>
      </c>
      <c r="G10" s="15">
        <v>6</v>
      </c>
      <c r="H10" s="16">
        <v>6</v>
      </c>
      <c r="I10" s="17">
        <f t="shared" si="0"/>
        <v>44</v>
      </c>
      <c r="J10" s="18">
        <v>45992</v>
      </c>
      <c r="K10" s="18">
        <v>45658</v>
      </c>
      <c r="L10" s="19">
        <f t="shared" si="1"/>
        <v>0.131736526946108</v>
      </c>
      <c r="M10" s="20">
        <v>0.0486111111111111</v>
      </c>
    </row>
    <row r="11" s="1" customFormat="1" spans="2:13">
      <c r="B11" s="9">
        <v>7</v>
      </c>
      <c r="C11" s="10" t="s">
        <v>27</v>
      </c>
      <c r="D11" s="15">
        <v>1</v>
      </c>
      <c r="E11" s="15">
        <v>1</v>
      </c>
      <c r="F11" s="15">
        <v>4</v>
      </c>
      <c r="G11" s="15">
        <v>4</v>
      </c>
      <c r="H11" s="16">
        <v>5</v>
      </c>
      <c r="I11" s="17">
        <f t="shared" si="0"/>
        <v>15</v>
      </c>
      <c r="J11" s="18">
        <v>46016</v>
      </c>
      <c r="K11" s="18">
        <v>45738</v>
      </c>
      <c r="L11" s="19">
        <f t="shared" si="1"/>
        <v>0.0539568345323741</v>
      </c>
      <c r="M11" s="20">
        <v>0.124620060790274</v>
      </c>
    </row>
    <row r="12" s="1" customFormat="1" spans="2:13">
      <c r="B12" s="9">
        <v>8</v>
      </c>
      <c r="C12" s="10" t="s">
        <v>28</v>
      </c>
      <c r="D12" s="15">
        <v>14</v>
      </c>
      <c r="E12" s="15">
        <v>1</v>
      </c>
      <c r="F12" s="15">
        <v>5</v>
      </c>
      <c r="G12" s="15">
        <v>9</v>
      </c>
      <c r="H12" s="16">
        <v>2</v>
      </c>
      <c r="I12" s="17">
        <f t="shared" si="0"/>
        <v>31</v>
      </c>
      <c r="J12" s="18">
        <v>45943</v>
      </c>
      <c r="K12" s="18">
        <v>45670</v>
      </c>
      <c r="L12" s="19">
        <f t="shared" si="1"/>
        <v>0.113553113553114</v>
      </c>
      <c r="M12" s="20">
        <v>0.121813031161473</v>
      </c>
    </row>
    <row r="13" s="1" customFormat="1" spans="2:13">
      <c r="B13" s="9">
        <v>9</v>
      </c>
      <c r="C13" s="10" t="s">
        <v>29</v>
      </c>
      <c r="D13" s="15">
        <v>3</v>
      </c>
      <c r="E13" s="15">
        <v>3</v>
      </c>
      <c r="F13" s="15">
        <v>1426</v>
      </c>
      <c r="G13" s="15">
        <v>6</v>
      </c>
      <c r="H13" s="16">
        <v>9</v>
      </c>
      <c r="I13" s="17">
        <f t="shared" si="0"/>
        <v>1447</v>
      </c>
      <c r="J13" s="18">
        <v>46010</v>
      </c>
      <c r="K13" s="18">
        <v>45674</v>
      </c>
      <c r="L13" s="19">
        <f t="shared" si="1"/>
        <v>4.30654761904762</v>
      </c>
      <c r="M13" s="20">
        <v>0.164335664335664</v>
      </c>
    </row>
    <row r="14" s="1" customFormat="1" spans="2:13">
      <c r="B14" s="9">
        <v>10</v>
      </c>
      <c r="C14" s="10" t="s">
        <v>30</v>
      </c>
      <c r="D14" s="15">
        <v>5</v>
      </c>
      <c r="E14" s="15">
        <v>1</v>
      </c>
      <c r="F14" s="15">
        <v>5</v>
      </c>
      <c r="G14" s="15">
        <v>6</v>
      </c>
      <c r="H14" s="16">
        <v>4</v>
      </c>
      <c r="I14" s="17">
        <f t="shared" ref="I14:I43" si="2">SUM(D14:H14)</f>
        <v>21</v>
      </c>
      <c r="J14" s="18">
        <v>46017</v>
      </c>
      <c r="K14" s="18">
        <v>45715</v>
      </c>
      <c r="L14" s="19">
        <f t="shared" ref="L14:L43" si="3">I14/(J14-K14)</f>
        <v>0.0695364238410596</v>
      </c>
      <c r="M14" s="20">
        <v>0.125827814569536</v>
      </c>
    </row>
    <row r="15" s="1" customFormat="1" spans="2:13">
      <c r="B15" s="9">
        <v>11</v>
      </c>
      <c r="C15" s="10" t="s">
        <v>31</v>
      </c>
      <c r="D15" s="11">
        <v>2</v>
      </c>
      <c r="E15" s="11">
        <v>1</v>
      </c>
      <c r="F15" s="11">
        <v>3</v>
      </c>
      <c r="G15" s="11">
        <v>2</v>
      </c>
      <c r="H15" s="12">
        <v>1</v>
      </c>
      <c r="I15" s="12">
        <f t="shared" si="2"/>
        <v>9</v>
      </c>
      <c r="J15" s="13">
        <v>45992</v>
      </c>
      <c r="K15" s="13">
        <v>45674</v>
      </c>
      <c r="L15" s="13">
        <f t="shared" si="3"/>
        <v>0.0283018867924528</v>
      </c>
      <c r="M15" s="21">
        <v>0.0675675675675676</v>
      </c>
    </row>
    <row r="16" s="1" customFormat="1" spans="2:13">
      <c r="B16" s="9">
        <v>12</v>
      </c>
      <c r="C16" s="10" t="s">
        <v>32</v>
      </c>
      <c r="D16" s="11">
        <v>2</v>
      </c>
      <c r="E16" s="22">
        <v>0</v>
      </c>
      <c r="F16" s="11">
        <v>6</v>
      </c>
      <c r="G16" s="11">
        <v>3</v>
      </c>
      <c r="H16" s="12">
        <v>10</v>
      </c>
      <c r="I16" s="12">
        <f t="shared" si="2"/>
        <v>21</v>
      </c>
      <c r="J16" s="13">
        <v>45992</v>
      </c>
      <c r="K16" s="13">
        <v>45708</v>
      </c>
      <c r="L16" s="13">
        <f t="shared" si="3"/>
        <v>0.073943661971831</v>
      </c>
      <c r="M16" s="21">
        <v>0.0673575129533679</v>
      </c>
    </row>
    <row r="17" s="1" customFormat="1" spans="2:13">
      <c r="B17" s="9">
        <v>13</v>
      </c>
      <c r="C17" s="10" t="s">
        <v>33</v>
      </c>
      <c r="D17" s="11">
        <v>34</v>
      </c>
      <c r="E17" s="11">
        <v>1</v>
      </c>
      <c r="F17" s="11">
        <v>6</v>
      </c>
      <c r="G17" s="11">
        <v>6</v>
      </c>
      <c r="H17" s="12">
        <v>24</v>
      </c>
      <c r="I17" s="12">
        <f t="shared" si="2"/>
        <v>71</v>
      </c>
      <c r="J17" s="13">
        <v>45986</v>
      </c>
      <c r="K17" s="13">
        <v>45679</v>
      </c>
      <c r="L17" s="13">
        <f t="shared" si="3"/>
        <v>0.231270358306189</v>
      </c>
      <c r="M17" s="21">
        <v>0.155115511551155</v>
      </c>
    </row>
    <row r="18" s="1" customFormat="1" spans="2:13">
      <c r="B18" s="9">
        <v>14</v>
      </c>
      <c r="C18" s="10" t="s">
        <v>34</v>
      </c>
      <c r="D18" s="11">
        <v>5</v>
      </c>
      <c r="E18" s="11">
        <v>1</v>
      </c>
      <c r="F18" s="11">
        <v>10</v>
      </c>
      <c r="G18" s="11">
        <v>6</v>
      </c>
      <c r="H18" s="12">
        <v>11</v>
      </c>
      <c r="I18" s="12">
        <f t="shared" si="2"/>
        <v>33</v>
      </c>
      <c r="J18" s="13">
        <v>46001</v>
      </c>
      <c r="K18" s="13">
        <v>45716</v>
      </c>
      <c r="L18" s="13">
        <f t="shared" si="3"/>
        <v>0.115789473684211</v>
      </c>
      <c r="M18" s="21">
        <v>0.10828025477707</v>
      </c>
    </row>
    <row r="19" s="1" customFormat="1" spans="2:13">
      <c r="B19" s="9">
        <v>15</v>
      </c>
      <c r="C19" s="10" t="s">
        <v>35</v>
      </c>
      <c r="D19" s="11">
        <v>39</v>
      </c>
      <c r="E19" s="11">
        <v>2</v>
      </c>
      <c r="F19" s="11">
        <v>34</v>
      </c>
      <c r="G19" s="11">
        <v>6</v>
      </c>
      <c r="H19" s="12">
        <v>55</v>
      </c>
      <c r="I19" s="12">
        <f t="shared" si="2"/>
        <v>136</v>
      </c>
      <c r="J19" s="13">
        <v>46011</v>
      </c>
      <c r="K19" s="13">
        <v>45658</v>
      </c>
      <c r="L19" s="13">
        <f t="shared" si="3"/>
        <v>0.385269121813031</v>
      </c>
      <c r="M19" s="21">
        <v>0.177852348993289</v>
      </c>
    </row>
    <row r="20" s="1" customFormat="1" spans="2:13">
      <c r="B20" s="9">
        <v>16</v>
      </c>
      <c r="C20" s="10" t="s">
        <v>36</v>
      </c>
      <c r="D20" s="11">
        <v>22</v>
      </c>
      <c r="E20" s="11">
        <v>36</v>
      </c>
      <c r="F20" s="11">
        <v>989</v>
      </c>
      <c r="G20" s="11">
        <v>9</v>
      </c>
      <c r="H20" s="12">
        <v>1357</v>
      </c>
      <c r="I20" s="12">
        <f t="shared" si="2"/>
        <v>2413</v>
      </c>
      <c r="J20" s="13">
        <v>45996</v>
      </c>
      <c r="K20" s="13">
        <v>45696</v>
      </c>
      <c r="L20" s="13">
        <f t="shared" si="3"/>
        <v>8.04333333333333</v>
      </c>
      <c r="M20" s="21">
        <v>0.096551724137931</v>
      </c>
    </row>
    <row r="21" s="1" customFormat="1" spans="2:13">
      <c r="B21" s="9">
        <v>17</v>
      </c>
      <c r="C21" s="10" t="s">
        <v>37</v>
      </c>
      <c r="D21" s="11">
        <v>48</v>
      </c>
      <c r="E21" s="11">
        <v>1</v>
      </c>
      <c r="F21" s="11">
        <v>40</v>
      </c>
      <c r="G21" s="11">
        <v>3</v>
      </c>
      <c r="H21" s="12">
        <v>56</v>
      </c>
      <c r="I21" s="12">
        <f t="shared" si="2"/>
        <v>148</v>
      </c>
      <c r="J21" s="13">
        <v>45991</v>
      </c>
      <c r="K21" s="13">
        <v>45677</v>
      </c>
      <c r="L21" s="13">
        <f t="shared" si="3"/>
        <v>0.471337579617834</v>
      </c>
      <c r="M21" s="21">
        <v>0.0642201834862385</v>
      </c>
    </row>
    <row r="22" s="1" customFormat="1" spans="2:13">
      <c r="B22" s="9">
        <v>18</v>
      </c>
      <c r="C22" s="10" t="s">
        <v>38</v>
      </c>
      <c r="D22" s="11">
        <v>1</v>
      </c>
      <c r="E22" s="11">
        <v>1</v>
      </c>
      <c r="F22" s="11">
        <v>4</v>
      </c>
      <c r="G22" s="11">
        <v>1</v>
      </c>
      <c r="H22" s="12">
        <v>3</v>
      </c>
      <c r="I22" s="12">
        <f t="shared" si="2"/>
        <v>10</v>
      </c>
      <c r="J22" s="13">
        <v>45992</v>
      </c>
      <c r="K22" s="13">
        <v>45658</v>
      </c>
      <c r="L22" s="13">
        <f t="shared" si="3"/>
        <v>0.029940119760479</v>
      </c>
      <c r="M22" s="21">
        <v>0.0954356846473029</v>
      </c>
    </row>
    <row r="23" s="1" customFormat="1" spans="2:13">
      <c r="B23" s="9">
        <v>19</v>
      </c>
      <c r="C23" s="10" t="s">
        <v>39</v>
      </c>
      <c r="D23" s="11">
        <v>3</v>
      </c>
      <c r="E23" s="11">
        <v>1</v>
      </c>
      <c r="F23" s="11">
        <v>6</v>
      </c>
      <c r="G23" s="11">
        <v>36</v>
      </c>
      <c r="H23" s="12">
        <v>28</v>
      </c>
      <c r="I23" s="12">
        <f t="shared" si="2"/>
        <v>74</v>
      </c>
      <c r="J23" s="13">
        <v>45996</v>
      </c>
      <c r="K23" s="13">
        <v>45672</v>
      </c>
      <c r="L23" s="13">
        <f t="shared" si="3"/>
        <v>0.228395061728395</v>
      </c>
      <c r="M23" s="21">
        <v>0.0754716981132075</v>
      </c>
    </row>
    <row r="24" s="1" customFormat="1" spans="2:13">
      <c r="B24" s="9">
        <v>20</v>
      </c>
      <c r="C24" s="10" t="s">
        <v>40</v>
      </c>
      <c r="D24" s="11">
        <v>4</v>
      </c>
      <c r="E24" s="11">
        <v>1</v>
      </c>
      <c r="F24" s="11">
        <v>6</v>
      </c>
      <c r="G24" s="11">
        <v>6</v>
      </c>
      <c r="H24" s="12">
        <v>12</v>
      </c>
      <c r="I24" s="12">
        <f t="shared" si="2"/>
        <v>29</v>
      </c>
      <c r="J24" s="13">
        <v>46386</v>
      </c>
      <c r="K24" s="13">
        <v>46080</v>
      </c>
      <c r="L24" s="13">
        <f t="shared" si="3"/>
        <v>0.0947712418300654</v>
      </c>
      <c r="M24" s="21">
        <v>0.0544871794871795</v>
      </c>
    </row>
    <row r="25" s="1" customFormat="1" spans="2:13">
      <c r="B25" s="9">
        <v>21</v>
      </c>
      <c r="C25" s="10" t="s">
        <v>41</v>
      </c>
      <c r="D25" s="11">
        <v>1</v>
      </c>
      <c r="E25" s="11">
        <v>1</v>
      </c>
      <c r="F25" s="11">
        <v>6</v>
      </c>
      <c r="G25" s="11">
        <v>6</v>
      </c>
      <c r="H25" s="12">
        <v>3</v>
      </c>
      <c r="I25" s="12">
        <f t="shared" si="2"/>
        <v>17</v>
      </c>
      <c r="J25" s="13">
        <v>46373</v>
      </c>
      <c r="K25" s="13">
        <v>46067</v>
      </c>
      <c r="L25" s="13">
        <f t="shared" si="3"/>
        <v>0.0555555555555556</v>
      </c>
      <c r="M25" s="21">
        <v>0.0711864406779661</v>
      </c>
    </row>
    <row r="26" s="1" customFormat="1" spans="2:13">
      <c r="B26" s="9">
        <v>22</v>
      </c>
      <c r="C26" s="10" t="s">
        <v>42</v>
      </c>
      <c r="D26" s="11">
        <v>2</v>
      </c>
      <c r="E26" s="11">
        <v>1</v>
      </c>
      <c r="F26" s="11">
        <v>10</v>
      </c>
      <c r="G26" s="11">
        <v>4</v>
      </c>
      <c r="H26" s="12">
        <v>1</v>
      </c>
      <c r="I26" s="12">
        <f t="shared" si="2"/>
        <v>18</v>
      </c>
      <c r="J26" s="13">
        <v>46360</v>
      </c>
      <c r="K26" s="13">
        <v>46071</v>
      </c>
      <c r="L26" s="13">
        <f t="shared" si="3"/>
        <v>0.0622837370242214</v>
      </c>
      <c r="M26" s="21">
        <v>0.075812274368231</v>
      </c>
    </row>
    <row r="27" s="1" customFormat="1" spans="2:13">
      <c r="B27" s="9">
        <v>23</v>
      </c>
      <c r="C27" s="10" t="s">
        <v>43</v>
      </c>
      <c r="D27" s="11">
        <v>3</v>
      </c>
      <c r="E27" s="11">
        <v>1</v>
      </c>
      <c r="F27" s="11">
        <v>10</v>
      </c>
      <c r="G27" s="11">
        <v>6</v>
      </c>
      <c r="H27" s="12">
        <v>10</v>
      </c>
      <c r="I27" s="12">
        <f t="shared" si="2"/>
        <v>30</v>
      </c>
      <c r="J27" s="13">
        <v>46382</v>
      </c>
      <c r="K27" s="13">
        <v>46079</v>
      </c>
      <c r="L27" s="13">
        <f t="shared" si="3"/>
        <v>0.099009900990099</v>
      </c>
      <c r="M27" s="21">
        <v>0.0526315789473684</v>
      </c>
    </row>
    <row r="28" s="1" customFormat="1" spans="2:13">
      <c r="B28" s="9">
        <v>24</v>
      </c>
      <c r="C28" s="10" t="s">
        <v>44</v>
      </c>
      <c r="D28" s="11">
        <v>5</v>
      </c>
      <c r="E28" s="11">
        <v>1</v>
      </c>
      <c r="F28" s="11">
        <v>3</v>
      </c>
      <c r="G28" s="11">
        <v>3</v>
      </c>
      <c r="H28" s="12">
        <v>5</v>
      </c>
      <c r="I28" s="12">
        <f t="shared" si="2"/>
        <v>17</v>
      </c>
      <c r="J28" s="13">
        <v>46340</v>
      </c>
      <c r="K28" s="13">
        <v>46103</v>
      </c>
      <c r="L28" s="13">
        <f t="shared" si="3"/>
        <v>0.0717299578059072</v>
      </c>
      <c r="M28" s="21">
        <v>0.0653846153846154</v>
      </c>
    </row>
    <row r="29" s="1" customFormat="1" spans="2:13">
      <c r="B29" s="9">
        <v>25</v>
      </c>
      <c r="C29" s="10" t="s">
        <v>45</v>
      </c>
      <c r="D29" s="11">
        <v>1</v>
      </c>
      <c r="E29" s="11">
        <v>1</v>
      </c>
      <c r="F29" s="11">
        <v>30</v>
      </c>
      <c r="G29" s="11">
        <v>6</v>
      </c>
      <c r="H29" s="12">
        <v>6</v>
      </c>
      <c r="I29" s="12">
        <f t="shared" si="2"/>
        <v>44</v>
      </c>
      <c r="J29" s="13">
        <v>46311</v>
      </c>
      <c r="K29" s="13">
        <v>46164</v>
      </c>
      <c r="L29" s="13">
        <f t="shared" si="3"/>
        <v>0.299319727891156</v>
      </c>
      <c r="M29" s="21">
        <v>0.138211382113821</v>
      </c>
    </row>
    <row r="30" s="1" customFormat="1" spans="2:13">
      <c r="B30" s="9">
        <v>26</v>
      </c>
      <c r="C30" s="10" t="s">
        <v>46</v>
      </c>
      <c r="D30" s="11">
        <v>1</v>
      </c>
      <c r="E30" s="11">
        <v>1</v>
      </c>
      <c r="F30" s="11">
        <v>10</v>
      </c>
      <c r="G30" s="11">
        <v>6</v>
      </c>
      <c r="H30" s="12">
        <v>6</v>
      </c>
      <c r="I30" s="12">
        <f t="shared" si="2"/>
        <v>24</v>
      </c>
      <c r="J30" s="13">
        <v>46382</v>
      </c>
      <c r="K30" s="13">
        <v>46072</v>
      </c>
      <c r="L30" s="13">
        <f t="shared" si="3"/>
        <v>0.0774193548387097</v>
      </c>
      <c r="M30" s="14">
        <v>0.08</v>
      </c>
    </row>
    <row r="31" s="1" customFormat="1" spans="2:13">
      <c r="B31" s="9">
        <v>27</v>
      </c>
      <c r="C31" s="10" t="s">
        <v>47</v>
      </c>
      <c r="D31" s="11">
        <v>28</v>
      </c>
      <c r="E31" s="11">
        <v>1</v>
      </c>
      <c r="F31" s="11">
        <v>8</v>
      </c>
      <c r="G31" s="11">
        <v>8</v>
      </c>
      <c r="H31" s="12">
        <v>3</v>
      </c>
      <c r="I31" s="12">
        <f t="shared" si="2"/>
        <v>48</v>
      </c>
      <c r="J31" s="13">
        <v>46346</v>
      </c>
      <c r="K31" s="13">
        <v>46093</v>
      </c>
      <c r="L31" s="13">
        <f t="shared" si="3"/>
        <v>0.189723320158103</v>
      </c>
      <c r="M31" s="14">
        <v>0.121710526315789</v>
      </c>
    </row>
    <row r="32" s="1" customFormat="1" spans="2:13">
      <c r="B32" s="9">
        <v>28</v>
      </c>
      <c r="C32" s="10" t="s">
        <v>48</v>
      </c>
      <c r="D32" s="11">
        <v>1</v>
      </c>
      <c r="E32" s="11">
        <v>1</v>
      </c>
      <c r="F32" s="11">
        <v>12</v>
      </c>
      <c r="G32" s="11">
        <v>12</v>
      </c>
      <c r="H32" s="12">
        <v>6</v>
      </c>
      <c r="I32" s="12">
        <f t="shared" si="2"/>
        <v>32</v>
      </c>
      <c r="J32" s="13">
        <v>46364</v>
      </c>
      <c r="K32" s="13">
        <v>46044</v>
      </c>
      <c r="L32" s="13">
        <f t="shared" si="3"/>
        <v>0.1</v>
      </c>
      <c r="M32" s="14">
        <v>0.0895522388059701</v>
      </c>
    </row>
    <row r="33" s="1" customFormat="1" spans="2:25">
      <c r="B33" s="9">
        <v>29</v>
      </c>
      <c r="C33" s="10" t="s">
        <v>49</v>
      </c>
      <c r="D33" s="11">
        <v>2</v>
      </c>
      <c r="E33" s="22">
        <v>0</v>
      </c>
      <c r="F33" s="11">
        <v>15</v>
      </c>
      <c r="G33" s="11">
        <v>7</v>
      </c>
      <c r="H33" s="12">
        <v>4</v>
      </c>
      <c r="I33" s="12">
        <f t="shared" si="2"/>
        <v>28</v>
      </c>
      <c r="J33" s="13">
        <v>46383</v>
      </c>
      <c r="K33" s="13">
        <v>46081</v>
      </c>
      <c r="L33" s="13">
        <f t="shared" si="3"/>
        <v>0.0927152317880795</v>
      </c>
      <c r="M33" s="14">
        <v>0.0771513353115727</v>
      </c>
    </row>
    <row r="34" s="1" customFormat="1" spans="2:25">
      <c r="B34" s="9">
        <v>30</v>
      </c>
      <c r="C34" s="10" t="s">
        <v>50</v>
      </c>
      <c r="D34" s="11">
        <v>2</v>
      </c>
      <c r="E34" s="11">
        <v>1</v>
      </c>
      <c r="F34" s="11">
        <v>10</v>
      </c>
      <c r="G34" s="11">
        <v>6</v>
      </c>
      <c r="H34" s="12">
        <v>7</v>
      </c>
      <c r="I34" s="12">
        <f t="shared" si="2"/>
        <v>26</v>
      </c>
      <c r="J34" s="13">
        <v>46385</v>
      </c>
      <c r="K34" s="13">
        <v>46038</v>
      </c>
      <c r="L34" s="13">
        <f t="shared" si="3"/>
        <v>0.0749279538904899</v>
      </c>
      <c r="M34" s="14">
        <v>0.115830115830116</v>
      </c>
    </row>
    <row r="35" s="1" customFormat="1" spans="2:25">
      <c r="B35" s="9">
        <v>31</v>
      </c>
      <c r="C35" s="10" t="s">
        <v>51</v>
      </c>
      <c r="D35" s="11">
        <v>1</v>
      </c>
      <c r="E35" s="11">
        <v>1</v>
      </c>
      <c r="F35" s="11">
        <v>12</v>
      </c>
      <c r="G35" s="11">
        <v>2</v>
      </c>
      <c r="H35" s="12">
        <v>4</v>
      </c>
      <c r="I35" s="12">
        <f t="shared" si="2"/>
        <v>20</v>
      </c>
      <c r="J35" s="13">
        <v>46378</v>
      </c>
      <c r="K35" s="13">
        <v>46091</v>
      </c>
      <c r="L35" s="13">
        <f t="shared" si="3"/>
        <v>0.0696864111498258</v>
      </c>
      <c r="M35" s="14">
        <v>0.197674418604651</v>
      </c>
    </row>
    <row r="36" s="1" customFormat="1" spans="2:25">
      <c r="B36" s="9">
        <v>32</v>
      </c>
      <c r="C36" s="10" t="s">
        <v>52</v>
      </c>
      <c r="D36" s="11">
        <v>1</v>
      </c>
      <c r="E36" s="22">
        <v>0</v>
      </c>
      <c r="F36" s="11">
        <v>12</v>
      </c>
      <c r="G36" s="11">
        <v>6</v>
      </c>
      <c r="H36" s="12">
        <v>19</v>
      </c>
      <c r="I36" s="12">
        <f t="shared" si="2"/>
        <v>38</v>
      </c>
      <c r="J36" s="13">
        <v>46381</v>
      </c>
      <c r="K36" s="13">
        <v>46081</v>
      </c>
      <c r="L36" s="13">
        <f t="shared" si="3"/>
        <v>0.126666666666667</v>
      </c>
      <c r="M36" s="14">
        <v>0.0948275862068965</v>
      </c>
    </row>
    <row r="37" s="1" customFormat="1" spans="2:25">
      <c r="B37" s="9">
        <v>33</v>
      </c>
      <c r="C37" s="10" t="s">
        <v>53</v>
      </c>
      <c r="D37" s="11">
        <v>4</v>
      </c>
      <c r="E37" s="11">
        <v>2</v>
      </c>
      <c r="F37" s="11">
        <v>10</v>
      </c>
      <c r="G37" s="11">
        <v>6</v>
      </c>
      <c r="H37" s="12">
        <v>17</v>
      </c>
      <c r="I37" s="12">
        <f t="shared" si="2"/>
        <v>39</v>
      </c>
      <c r="J37" s="13">
        <v>46386</v>
      </c>
      <c r="K37" s="13">
        <v>46072</v>
      </c>
      <c r="L37" s="13">
        <f t="shared" si="3"/>
        <v>0.124203821656051</v>
      </c>
      <c r="M37" s="14">
        <v>0.0791788856304985</v>
      </c>
    </row>
    <row r="38" s="1" customFormat="1" spans="2:25">
      <c r="B38" s="9">
        <v>34</v>
      </c>
      <c r="C38" s="10" t="s">
        <v>54</v>
      </c>
      <c r="D38" s="11">
        <v>6</v>
      </c>
      <c r="E38" s="11">
        <v>1</v>
      </c>
      <c r="F38" s="11">
        <v>18</v>
      </c>
      <c r="G38" s="11">
        <v>8</v>
      </c>
      <c r="H38" s="12">
        <v>14</v>
      </c>
      <c r="I38" s="12">
        <f t="shared" si="2"/>
        <v>47</v>
      </c>
      <c r="J38" s="13">
        <v>46368</v>
      </c>
      <c r="K38" s="13">
        <v>46055</v>
      </c>
      <c r="L38" s="13">
        <f t="shared" si="3"/>
        <v>0.150159744408946</v>
      </c>
      <c r="M38" s="14">
        <v>0.0864197530864197</v>
      </c>
    </row>
    <row r="39" s="1" customFormat="1" spans="2:25">
      <c r="B39" s="9">
        <v>35</v>
      </c>
      <c r="C39" s="10" t="s">
        <v>55</v>
      </c>
      <c r="D39" s="11">
        <v>42</v>
      </c>
      <c r="E39" s="11">
        <v>3</v>
      </c>
      <c r="F39" s="11">
        <v>20</v>
      </c>
      <c r="G39" s="11">
        <v>4</v>
      </c>
      <c r="H39" s="12">
        <v>14</v>
      </c>
      <c r="I39" s="12">
        <f t="shared" si="2"/>
        <v>83</v>
      </c>
      <c r="J39" s="13">
        <v>46361</v>
      </c>
      <c r="K39" s="13">
        <v>46035</v>
      </c>
      <c r="L39" s="13">
        <f t="shared" si="3"/>
        <v>0.254601226993865</v>
      </c>
      <c r="M39" s="14">
        <v>0.0839416058394161</v>
      </c>
    </row>
    <row r="40" s="1" customFormat="1" spans="2:25">
      <c r="B40" s="9">
        <v>36</v>
      </c>
      <c r="C40" s="10" t="s">
        <v>56</v>
      </c>
      <c r="D40" s="11">
        <v>1</v>
      </c>
      <c r="E40" s="22">
        <v>0</v>
      </c>
      <c r="F40" s="11">
        <v>37</v>
      </c>
      <c r="G40" s="11">
        <v>11</v>
      </c>
      <c r="H40" s="22">
        <v>0</v>
      </c>
      <c r="I40" s="12">
        <f t="shared" si="2"/>
        <v>49</v>
      </c>
      <c r="J40" s="13">
        <v>46375</v>
      </c>
      <c r="K40" s="13">
        <v>46028</v>
      </c>
      <c r="L40" s="13">
        <f t="shared" si="3"/>
        <v>0.141210374639769</v>
      </c>
      <c r="M40" s="14">
        <v>0.597222222222222</v>
      </c>
    </row>
    <row r="41" s="1" customFormat="1" spans="2:25">
      <c r="B41" s="9">
        <v>37</v>
      </c>
      <c r="C41" s="10" t="s">
        <v>57</v>
      </c>
      <c r="D41" s="11">
        <v>1</v>
      </c>
      <c r="E41" s="22">
        <v>0</v>
      </c>
      <c r="F41" s="22">
        <v>0</v>
      </c>
      <c r="G41" s="11">
        <v>1</v>
      </c>
      <c r="H41" s="12">
        <v>2</v>
      </c>
      <c r="I41" s="12">
        <f t="shared" si="2"/>
        <v>4</v>
      </c>
      <c r="J41" s="13">
        <v>46356</v>
      </c>
      <c r="K41" s="13">
        <v>46176</v>
      </c>
      <c r="L41" s="13">
        <f t="shared" si="3"/>
        <v>0.0222222222222222</v>
      </c>
      <c r="M41" s="14">
        <v>0.0273224043715847</v>
      </c>
    </row>
    <row r="42" s="1" customFormat="1" spans="2:25">
      <c r="B42" s="9">
        <v>38</v>
      </c>
      <c r="C42" s="10" t="s">
        <v>58</v>
      </c>
      <c r="D42" s="11">
        <v>4</v>
      </c>
      <c r="E42" s="11">
        <v>2</v>
      </c>
      <c r="F42" s="11">
        <v>8</v>
      </c>
      <c r="G42" s="11">
        <v>4</v>
      </c>
      <c r="H42" s="12">
        <v>10</v>
      </c>
      <c r="I42" s="12">
        <f t="shared" si="2"/>
        <v>28</v>
      </c>
      <c r="J42" s="13">
        <v>46306</v>
      </c>
      <c r="K42" s="13">
        <v>46035</v>
      </c>
      <c r="L42" s="13">
        <f t="shared" si="3"/>
        <v>0.103321033210332</v>
      </c>
      <c r="M42" s="14">
        <v>0.127659574468085</v>
      </c>
    </row>
    <row r="43" s="1" customFormat="1" spans="2:25">
      <c r="B43" s="9">
        <v>39</v>
      </c>
      <c r="C43" s="10" t="s">
        <v>59</v>
      </c>
      <c r="D43" s="11">
        <v>5</v>
      </c>
      <c r="E43" s="11">
        <v>5</v>
      </c>
      <c r="F43" s="11">
        <v>78</v>
      </c>
      <c r="G43" s="11">
        <v>24</v>
      </c>
      <c r="H43" s="12">
        <v>8</v>
      </c>
      <c r="I43" s="12">
        <f t="shared" si="2"/>
        <v>120</v>
      </c>
      <c r="J43" s="13">
        <v>46376</v>
      </c>
      <c r="K43" s="13">
        <v>46122</v>
      </c>
      <c r="L43" s="13">
        <f t="shared" si="3"/>
        <v>0.47244094488189</v>
      </c>
      <c r="M43" s="14">
        <v>0.0464135021097046</v>
      </c>
    </row>
    <row r="45" s="1" customFormat="1" spans="2:25">
      <c r="B45" s="1" t="s">
        <v>60</v>
      </c>
      <c r="C45" s="1" t="s">
        <v>60</v>
      </c>
      <c r="D45" s="1" t="s">
        <v>60</v>
      </c>
      <c r="E45" s="1" t="s">
        <v>60</v>
      </c>
      <c r="F45" s="1" t="s">
        <v>60</v>
      </c>
      <c r="G45" s="1" t="s">
        <v>60</v>
      </c>
      <c r="H45" s="1" t="s">
        <v>60</v>
      </c>
      <c r="I45" s="1" t="s">
        <v>60</v>
      </c>
      <c r="J45" s="1" t="s">
        <v>61</v>
      </c>
      <c r="K45" s="1" t="s">
        <v>61</v>
      </c>
      <c r="L45" s="1" t="s">
        <v>61</v>
      </c>
      <c r="M45" s="1" t="s">
        <v>61</v>
      </c>
      <c r="N45" s="1" t="s">
        <v>61</v>
      </c>
      <c r="O45" s="3" t="s">
        <v>61</v>
      </c>
      <c r="P45" s="1" t="s">
        <v>62</v>
      </c>
      <c r="Q45" s="1" t="s">
        <v>62</v>
      </c>
      <c r="R45" s="1" t="s">
        <v>62</v>
      </c>
      <c r="S45" s="1" t="s">
        <v>62</v>
      </c>
      <c r="T45" s="1" t="s">
        <v>62</v>
      </c>
      <c r="U45" s="1" t="s">
        <v>62</v>
      </c>
      <c r="V45" s="1" t="s">
        <v>62</v>
      </c>
      <c r="W45" s="1" t="s">
        <v>62</v>
      </c>
    </row>
    <row r="46" s="1" customFormat="1" spans="2:25">
      <c r="D46" s="1" t="s">
        <v>1</v>
      </c>
      <c r="E46" s="1" t="s">
        <v>2</v>
      </c>
      <c r="F46" s="1" t="s">
        <v>3</v>
      </c>
      <c r="G46" s="1" t="s">
        <v>4</v>
      </c>
      <c r="H46" s="3" t="s">
        <v>5</v>
      </c>
      <c r="I46" s="3"/>
      <c r="J46" s="1" t="s">
        <v>1</v>
      </c>
      <c r="K46" s="1" t="s">
        <v>2</v>
      </c>
      <c r="L46" s="1" t="s">
        <v>3</v>
      </c>
      <c r="M46" s="1" t="s">
        <v>4</v>
      </c>
      <c r="N46" s="3" t="s">
        <v>5</v>
      </c>
      <c r="O46" s="3"/>
      <c r="R46" s="1" t="s">
        <v>1</v>
      </c>
      <c r="S46" s="1" t="s">
        <v>2</v>
      </c>
      <c r="T46" s="1" t="s">
        <v>3</v>
      </c>
      <c r="U46" s="1" t="s">
        <v>4</v>
      </c>
      <c r="V46" s="3" t="s">
        <v>5</v>
      </c>
      <c r="W46" s="3"/>
    </row>
    <row r="47" s="1" customFormat="1" spans="2:25">
      <c r="D47" s="1" t="s">
        <v>7</v>
      </c>
      <c r="E47" s="1" t="s">
        <v>7</v>
      </c>
      <c r="F47" s="1" t="s">
        <v>7</v>
      </c>
      <c r="G47" s="1" t="s">
        <v>7</v>
      </c>
      <c r="H47" s="3" t="s">
        <v>7</v>
      </c>
      <c r="I47" s="3" t="s">
        <v>8</v>
      </c>
      <c r="J47" s="1" t="s">
        <v>7</v>
      </c>
      <c r="K47" s="1" t="s">
        <v>7</v>
      </c>
      <c r="L47" s="1" t="s">
        <v>7</v>
      </c>
      <c r="M47" s="1" t="s">
        <v>7</v>
      </c>
      <c r="N47" s="3" t="s">
        <v>7</v>
      </c>
      <c r="O47" s="3" t="s">
        <v>8</v>
      </c>
      <c r="R47" s="1" t="s">
        <v>7</v>
      </c>
      <c r="S47" s="1" t="s">
        <v>7</v>
      </c>
      <c r="T47" s="1" t="s">
        <v>7</v>
      </c>
      <c r="U47" s="1" t="s">
        <v>7</v>
      </c>
      <c r="V47" s="3" t="s">
        <v>7</v>
      </c>
      <c r="W47" s="3" t="s">
        <v>8</v>
      </c>
      <c r="X47" s="1" t="s">
        <v>63</v>
      </c>
      <c r="Y47" s="1" t="s">
        <v>64</v>
      </c>
    </row>
    <row r="48" s="1" customFormat="1" spans="2:25">
      <c r="B48" s="2" t="s">
        <v>10</v>
      </c>
      <c r="C48" s="7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8" t="s">
        <v>16</v>
      </c>
      <c r="I48" s="8"/>
      <c r="J48" s="2" t="s">
        <v>12</v>
      </c>
      <c r="K48" s="2" t="s">
        <v>13</v>
      </c>
      <c r="L48" s="2" t="s">
        <v>14</v>
      </c>
      <c r="M48" s="2" t="s">
        <v>15</v>
      </c>
      <c r="N48" s="8" t="s">
        <v>16</v>
      </c>
      <c r="O48" s="8"/>
      <c r="P48" s="2" t="s">
        <v>10</v>
      </c>
      <c r="Q48" s="7" t="s">
        <v>11</v>
      </c>
      <c r="R48" s="2" t="s">
        <v>12</v>
      </c>
      <c r="S48" s="2" t="s">
        <v>13</v>
      </c>
      <c r="T48" s="2" t="s">
        <v>14</v>
      </c>
      <c r="U48" s="2" t="s">
        <v>15</v>
      </c>
      <c r="V48" s="8" t="s">
        <v>16</v>
      </c>
      <c r="W48" s="8"/>
      <c r="X48" s="1" t="s">
        <v>65</v>
      </c>
      <c r="Y48" s="1" t="s">
        <v>66</v>
      </c>
    </row>
    <row r="49" s="1" customFormat="1" spans="2:33">
      <c r="B49" s="9">
        <v>1</v>
      </c>
      <c r="C49" s="10" t="s">
        <v>21</v>
      </c>
      <c r="D49" s="23">
        <f t="shared" ref="D49:H49" si="4">D5/$I5</f>
        <v>0.416666666666667</v>
      </c>
      <c r="E49" s="23">
        <f t="shared" si="4"/>
        <v>0.0833333333333333</v>
      </c>
      <c r="F49" s="23">
        <f t="shared" si="4"/>
        <v>0.25</v>
      </c>
      <c r="G49" s="23">
        <f t="shared" si="4"/>
        <v>0.0833333333333333</v>
      </c>
      <c r="H49" s="23">
        <f t="shared" si="4"/>
        <v>0.166666666666667</v>
      </c>
      <c r="I49" s="12">
        <f t="shared" ref="I49:I57" si="5">SUM(D49:H49)</f>
        <v>1</v>
      </c>
      <c r="J49" s="24">
        <v>0.2</v>
      </c>
      <c r="K49" s="24">
        <v>0.2</v>
      </c>
      <c r="L49" s="24">
        <v>0.2</v>
      </c>
      <c r="M49" s="25">
        <v>0.2</v>
      </c>
      <c r="N49" s="24">
        <v>0.2</v>
      </c>
      <c r="O49" s="26">
        <f>SUM(J49:N49)</f>
        <v>1</v>
      </c>
      <c r="P49" s="9">
        <v>1</v>
      </c>
      <c r="Q49" s="10" t="s">
        <v>21</v>
      </c>
      <c r="R49" s="24">
        <f t="shared" ref="R49:W49" si="6">ABS(D49-J49)</f>
        <v>0.216666666666667</v>
      </c>
      <c r="S49" s="24">
        <f t="shared" si="6"/>
        <v>0.116666666666667</v>
      </c>
      <c r="T49" s="24">
        <f t="shared" si="6"/>
        <v>0.05</v>
      </c>
      <c r="U49" s="24">
        <f t="shared" si="6"/>
        <v>0.116666666666667</v>
      </c>
      <c r="V49" s="24">
        <f t="shared" si="6"/>
        <v>0.0333333333333334</v>
      </c>
      <c r="W49" s="24">
        <f t="shared" si="6"/>
        <v>0</v>
      </c>
      <c r="X49" s="24">
        <f t="shared" ref="X49:X57" si="7">SUM(R49:V49)</f>
        <v>0.533333333333333</v>
      </c>
      <c r="Y49" s="24">
        <f t="shared" ref="Y49:Y57" si="8">1/X49</f>
        <v>1.875</v>
      </c>
      <c r="Z49" s="24"/>
      <c r="AB49" s="27"/>
      <c r="AC49" s="27"/>
      <c r="AD49" s="27"/>
      <c r="AE49" s="27"/>
      <c r="AF49" s="27"/>
      <c r="AG49" s="27"/>
    </row>
    <row r="50" s="1" customFormat="1" spans="2:33">
      <c r="B50" s="9">
        <v>2</v>
      </c>
      <c r="C50" s="10" t="s">
        <v>22</v>
      </c>
      <c r="D50" s="23">
        <f t="shared" ref="D50:H50" si="9">D6/$I6</f>
        <v>0.0232558139534884</v>
      </c>
      <c r="E50" s="23">
        <f t="shared" si="9"/>
        <v>0.0232558139534884</v>
      </c>
      <c r="F50" s="23">
        <f t="shared" si="9"/>
        <v>0.418604651162791</v>
      </c>
      <c r="G50" s="23">
        <f t="shared" si="9"/>
        <v>0.418604651162791</v>
      </c>
      <c r="H50" s="23">
        <f t="shared" si="9"/>
        <v>0.116279069767442</v>
      </c>
      <c r="I50" s="17">
        <f t="shared" si="5"/>
        <v>1</v>
      </c>
      <c r="J50" s="24">
        <v>0.2</v>
      </c>
      <c r="K50" s="24">
        <v>0.2</v>
      </c>
      <c r="L50" s="24">
        <v>0.2</v>
      </c>
      <c r="M50" s="25">
        <v>0.2</v>
      </c>
      <c r="N50" s="24">
        <v>0.2</v>
      </c>
      <c r="O50" s="25">
        <v>1</v>
      </c>
      <c r="P50" s="9">
        <v>2</v>
      </c>
      <c r="Q50" s="10" t="s">
        <v>22</v>
      </c>
      <c r="R50" s="24">
        <f t="shared" ref="R50:W50" si="10">ABS(D50-J50)</f>
        <v>0.176744186046512</v>
      </c>
      <c r="S50" s="24">
        <f t="shared" si="10"/>
        <v>0.176744186046512</v>
      </c>
      <c r="T50" s="24">
        <f t="shared" si="10"/>
        <v>0.218604651162791</v>
      </c>
      <c r="U50" s="24">
        <f t="shared" si="10"/>
        <v>0.218604651162791</v>
      </c>
      <c r="V50" s="24">
        <f t="shared" si="10"/>
        <v>0.0837209302325582</v>
      </c>
      <c r="W50" s="24">
        <f t="shared" si="10"/>
        <v>0</v>
      </c>
      <c r="X50" s="24">
        <f t="shared" si="7"/>
        <v>0.874418604651163</v>
      </c>
      <c r="Y50" s="24">
        <f t="shared" si="8"/>
        <v>1.1436170212766</v>
      </c>
      <c r="Z50" s="24"/>
      <c r="AB50" s="27"/>
      <c r="AC50" s="27"/>
      <c r="AD50" s="27"/>
      <c r="AE50" s="27"/>
      <c r="AF50" s="27"/>
      <c r="AG50" s="27"/>
    </row>
    <row r="51" s="1" customFormat="1" spans="2:33">
      <c r="B51" s="9">
        <v>3</v>
      </c>
      <c r="C51" s="10" t="s">
        <v>23</v>
      </c>
      <c r="D51" s="23">
        <f t="shared" ref="D51:H51" si="11">D7/$I7</f>
        <v>0.0933333333333333</v>
      </c>
      <c r="E51" s="23">
        <f t="shared" si="11"/>
        <v>0.0266666666666667</v>
      </c>
      <c r="F51" s="23">
        <f t="shared" si="11"/>
        <v>0.16</v>
      </c>
      <c r="G51" s="23">
        <f t="shared" si="11"/>
        <v>0.493333333333333</v>
      </c>
      <c r="H51" s="23">
        <f t="shared" si="11"/>
        <v>0.226666666666667</v>
      </c>
      <c r="I51" s="17">
        <f t="shared" si="5"/>
        <v>1</v>
      </c>
      <c r="J51" s="24">
        <v>0.2</v>
      </c>
      <c r="K51" s="24">
        <v>0.2</v>
      </c>
      <c r="L51" s="24">
        <v>0.2</v>
      </c>
      <c r="M51" s="25">
        <v>0.2</v>
      </c>
      <c r="N51" s="24">
        <v>0.2</v>
      </c>
      <c r="O51" s="25">
        <v>1</v>
      </c>
      <c r="P51" s="9">
        <v>3</v>
      </c>
      <c r="Q51" s="10" t="s">
        <v>23</v>
      </c>
      <c r="R51" s="24">
        <f t="shared" ref="R51:W51" si="12">ABS(D51-J51)</f>
        <v>0.106666666666667</v>
      </c>
      <c r="S51" s="24">
        <f t="shared" si="12"/>
        <v>0.173333333333333</v>
      </c>
      <c r="T51" s="24">
        <f t="shared" si="12"/>
        <v>0.04</v>
      </c>
      <c r="U51" s="24">
        <f t="shared" si="12"/>
        <v>0.293333333333333</v>
      </c>
      <c r="V51" s="24">
        <f t="shared" si="12"/>
        <v>0.0266666666666666</v>
      </c>
      <c r="W51" s="24">
        <f t="shared" si="12"/>
        <v>0</v>
      </c>
      <c r="X51" s="24">
        <f t="shared" si="7"/>
        <v>0.64</v>
      </c>
      <c r="Y51" s="24">
        <f t="shared" si="8"/>
        <v>1.5625</v>
      </c>
      <c r="Z51" s="24"/>
      <c r="AB51" s="27"/>
      <c r="AC51" s="27"/>
      <c r="AD51" s="27"/>
      <c r="AE51" s="27"/>
      <c r="AF51" s="27"/>
      <c r="AG51" s="27"/>
    </row>
    <row r="52" s="1" customFormat="1" spans="2:33">
      <c r="B52" s="9">
        <v>4</v>
      </c>
      <c r="C52" s="10" t="s">
        <v>24</v>
      </c>
      <c r="D52" s="23">
        <f t="shared" ref="D52:H52" si="13">D8/$I8</f>
        <v>0.0568181818181818</v>
      </c>
      <c r="E52" s="23">
        <f t="shared" si="13"/>
        <v>0.0227272727272727</v>
      </c>
      <c r="F52" s="23">
        <f t="shared" si="13"/>
        <v>0.125</v>
      </c>
      <c r="G52" s="23">
        <f t="shared" si="13"/>
        <v>0.318181818181818</v>
      </c>
      <c r="H52" s="23">
        <f t="shared" si="13"/>
        <v>0.477272727272727</v>
      </c>
      <c r="I52" s="17">
        <f t="shared" si="5"/>
        <v>1</v>
      </c>
      <c r="J52" s="24">
        <v>0.2</v>
      </c>
      <c r="K52" s="24">
        <v>0.2</v>
      </c>
      <c r="L52" s="24">
        <v>0.2</v>
      </c>
      <c r="M52" s="25">
        <v>0.2</v>
      </c>
      <c r="N52" s="24">
        <v>0.2</v>
      </c>
      <c r="O52" s="25">
        <v>1</v>
      </c>
      <c r="P52" s="9">
        <v>4</v>
      </c>
      <c r="Q52" s="10" t="s">
        <v>24</v>
      </c>
      <c r="R52" s="24">
        <f t="shared" ref="R52:W52" si="14">ABS(D52-J52)</f>
        <v>0.143181818181818</v>
      </c>
      <c r="S52" s="24">
        <f t="shared" si="14"/>
        <v>0.177272727272727</v>
      </c>
      <c r="T52" s="24">
        <f t="shared" si="14"/>
        <v>0.075</v>
      </c>
      <c r="U52" s="24">
        <f t="shared" si="14"/>
        <v>0.118181818181818</v>
      </c>
      <c r="V52" s="24">
        <f t="shared" si="14"/>
        <v>0.277272727272727</v>
      </c>
      <c r="W52" s="24">
        <f t="shared" si="14"/>
        <v>0</v>
      </c>
      <c r="X52" s="24">
        <f t="shared" si="7"/>
        <v>0.790909090909091</v>
      </c>
      <c r="Y52" s="24">
        <f t="shared" si="8"/>
        <v>1.26436781609195</v>
      </c>
      <c r="Z52" s="24"/>
      <c r="AB52" s="27"/>
      <c r="AC52" s="27"/>
      <c r="AD52" s="27"/>
      <c r="AE52" s="27"/>
      <c r="AF52" s="27"/>
      <c r="AG52" s="27"/>
    </row>
    <row r="53" s="1" customFormat="1" spans="2:33">
      <c r="B53" s="9">
        <v>5</v>
      </c>
      <c r="C53" s="10" t="s">
        <v>25</v>
      </c>
      <c r="D53" s="23">
        <f t="shared" ref="D53:H53" si="15">D9/$I9</f>
        <v>0.137931034482759</v>
      </c>
      <c r="E53" s="23">
        <f t="shared" si="15"/>
        <v>0.0344827586206897</v>
      </c>
      <c r="F53" s="23">
        <f t="shared" si="15"/>
        <v>0.413793103448276</v>
      </c>
      <c r="G53" s="23">
        <f t="shared" si="15"/>
        <v>0.206896551724138</v>
      </c>
      <c r="H53" s="23">
        <f t="shared" si="15"/>
        <v>0.206896551724138</v>
      </c>
      <c r="I53" s="17">
        <f t="shared" si="5"/>
        <v>1</v>
      </c>
      <c r="J53" s="24">
        <v>0.2</v>
      </c>
      <c r="K53" s="24">
        <v>0.2</v>
      </c>
      <c r="L53" s="24">
        <v>0.2</v>
      </c>
      <c r="M53" s="25">
        <v>0.2</v>
      </c>
      <c r="N53" s="24">
        <v>0.2</v>
      </c>
      <c r="O53" s="25">
        <v>1</v>
      </c>
      <c r="P53" s="9">
        <v>5</v>
      </c>
      <c r="Q53" s="10" t="s">
        <v>25</v>
      </c>
      <c r="R53" s="24">
        <f t="shared" ref="R53:W53" si="16">ABS(D53-J53)</f>
        <v>0.0620689655172414</v>
      </c>
      <c r="S53" s="24">
        <f t="shared" si="16"/>
        <v>0.16551724137931</v>
      </c>
      <c r="T53" s="24">
        <f t="shared" si="16"/>
        <v>0.213793103448276</v>
      </c>
      <c r="U53" s="24">
        <f t="shared" si="16"/>
        <v>0.00689655172413792</v>
      </c>
      <c r="V53" s="24">
        <f t="shared" si="16"/>
        <v>0.00689655172413792</v>
      </c>
      <c r="W53" s="24">
        <f t="shared" si="16"/>
        <v>0</v>
      </c>
      <c r="X53" s="24">
        <f t="shared" si="7"/>
        <v>0.455172413793103</v>
      </c>
      <c r="Y53" s="24">
        <f t="shared" si="8"/>
        <v>2.1969696969697</v>
      </c>
      <c r="Z53" s="24"/>
      <c r="AB53" s="27"/>
      <c r="AC53" s="27"/>
      <c r="AD53" s="27"/>
      <c r="AE53" s="27"/>
      <c r="AF53" s="27"/>
      <c r="AG53" s="27"/>
    </row>
    <row r="54" s="1" customFormat="1" spans="2:33">
      <c r="B54" s="9">
        <v>6</v>
      </c>
      <c r="C54" s="10" t="s">
        <v>26</v>
      </c>
      <c r="D54" s="23">
        <f t="shared" ref="D54:H54" si="17">D10/$I10</f>
        <v>0.431818181818182</v>
      </c>
      <c r="E54" s="23">
        <f t="shared" si="17"/>
        <v>0.0227272727272727</v>
      </c>
      <c r="F54" s="28">
        <f t="shared" si="17"/>
        <v>0.272727272727273</v>
      </c>
      <c r="G54" s="23">
        <f t="shared" si="17"/>
        <v>0.136363636363636</v>
      </c>
      <c r="H54" s="23">
        <f t="shared" si="17"/>
        <v>0.136363636363636</v>
      </c>
      <c r="I54" s="17">
        <f t="shared" si="5"/>
        <v>1</v>
      </c>
      <c r="J54" s="24">
        <v>0.2</v>
      </c>
      <c r="K54" s="24">
        <v>0.2</v>
      </c>
      <c r="L54" s="24">
        <v>0.2</v>
      </c>
      <c r="M54" s="25">
        <v>0.2</v>
      </c>
      <c r="N54" s="24">
        <v>0.2</v>
      </c>
      <c r="O54" s="25">
        <v>1</v>
      </c>
      <c r="P54" s="9">
        <v>7</v>
      </c>
      <c r="Q54" s="10" t="s">
        <v>26</v>
      </c>
      <c r="R54" s="24">
        <f t="shared" ref="R54:W54" si="18">ABS(D54-J54)</f>
        <v>0.231818181818182</v>
      </c>
      <c r="S54" s="24">
        <f t="shared" si="18"/>
        <v>0.177272727272727</v>
      </c>
      <c r="T54" s="29">
        <v>0.8</v>
      </c>
      <c r="U54" s="24">
        <f t="shared" si="18"/>
        <v>0.0636363636363637</v>
      </c>
      <c r="V54" s="24">
        <f t="shared" si="18"/>
        <v>0.0636363636363637</v>
      </c>
      <c r="W54" s="24">
        <f t="shared" si="18"/>
        <v>0</v>
      </c>
      <c r="X54" s="24">
        <f t="shared" si="7"/>
        <v>1.33636363636364</v>
      </c>
      <c r="Y54" s="24">
        <f t="shared" si="8"/>
        <v>0.748299319727891</v>
      </c>
      <c r="Z54" s="24"/>
      <c r="AB54" s="27"/>
      <c r="AC54" s="27"/>
      <c r="AD54" s="27"/>
      <c r="AE54" s="27"/>
      <c r="AF54" s="27"/>
      <c r="AG54" s="27"/>
    </row>
    <row r="55" s="1" customFormat="1" spans="2:33">
      <c r="B55" s="9">
        <v>7</v>
      </c>
      <c r="C55" s="10" t="s">
        <v>27</v>
      </c>
      <c r="D55" s="23">
        <f t="shared" ref="D55:H55" si="19">D11/$I11</f>
        <v>0.0666666666666667</v>
      </c>
      <c r="E55" s="23">
        <f t="shared" si="19"/>
        <v>0.0666666666666667</v>
      </c>
      <c r="F55" s="23">
        <f t="shared" si="19"/>
        <v>0.266666666666667</v>
      </c>
      <c r="G55" s="23">
        <f t="shared" si="19"/>
        <v>0.266666666666667</v>
      </c>
      <c r="H55" s="23">
        <f t="shared" si="19"/>
        <v>0.333333333333333</v>
      </c>
      <c r="I55" s="17">
        <f t="shared" si="5"/>
        <v>1</v>
      </c>
      <c r="J55" s="24">
        <v>0.2</v>
      </c>
      <c r="K55" s="24">
        <v>0.2</v>
      </c>
      <c r="L55" s="24">
        <v>0.2</v>
      </c>
      <c r="M55" s="25">
        <v>0.2</v>
      </c>
      <c r="N55" s="24">
        <v>0.2</v>
      </c>
      <c r="O55" s="25">
        <v>1</v>
      </c>
      <c r="P55" s="9">
        <v>8</v>
      </c>
      <c r="Q55" s="10" t="s">
        <v>27</v>
      </c>
      <c r="R55" s="24">
        <f t="shared" ref="R55:W55" si="20">ABS(D55-J55)</f>
        <v>0.133333333333333</v>
      </c>
      <c r="S55" s="24">
        <f t="shared" si="20"/>
        <v>0.133333333333333</v>
      </c>
      <c r="T55" s="24">
        <f t="shared" si="20"/>
        <v>0.0666666666666667</v>
      </c>
      <c r="U55" s="24">
        <f t="shared" si="20"/>
        <v>0.0666666666666667</v>
      </c>
      <c r="V55" s="24">
        <f t="shared" si="20"/>
        <v>0.133333333333333</v>
      </c>
      <c r="W55" s="24">
        <f t="shared" si="20"/>
        <v>0</v>
      </c>
      <c r="X55" s="24">
        <f t="shared" si="7"/>
        <v>0.533333333333333</v>
      </c>
      <c r="Y55" s="24">
        <f t="shared" si="8"/>
        <v>1.875</v>
      </c>
      <c r="Z55" s="24"/>
      <c r="AB55" s="27"/>
      <c r="AC55" s="27"/>
      <c r="AD55" s="27"/>
      <c r="AE55" s="27"/>
      <c r="AF55" s="27"/>
      <c r="AG55" s="27"/>
    </row>
    <row r="56" s="1" customFormat="1" spans="2:33">
      <c r="B56" s="9">
        <v>8</v>
      </c>
      <c r="C56" s="10" t="s">
        <v>28</v>
      </c>
      <c r="D56" s="23">
        <f t="shared" ref="D56:H56" si="21">D12/$I12</f>
        <v>0.451612903225806</v>
      </c>
      <c r="E56" s="23">
        <f t="shared" si="21"/>
        <v>0.032258064516129</v>
      </c>
      <c r="F56" s="23">
        <f t="shared" si="21"/>
        <v>0.161290322580645</v>
      </c>
      <c r="G56" s="23">
        <f t="shared" si="21"/>
        <v>0.290322580645161</v>
      </c>
      <c r="H56" s="23">
        <f t="shared" si="21"/>
        <v>0.0645161290322581</v>
      </c>
      <c r="I56" s="17">
        <f t="shared" si="5"/>
        <v>1</v>
      </c>
      <c r="J56" s="24">
        <v>0.2</v>
      </c>
      <c r="K56" s="24">
        <v>0.2</v>
      </c>
      <c r="L56" s="24">
        <v>0.2</v>
      </c>
      <c r="M56" s="25">
        <v>0.2</v>
      </c>
      <c r="N56" s="24">
        <v>0.2</v>
      </c>
      <c r="O56" s="25">
        <v>1</v>
      </c>
      <c r="P56" s="9">
        <v>9</v>
      </c>
      <c r="Q56" s="10" t="s">
        <v>28</v>
      </c>
      <c r="R56" s="24">
        <f t="shared" ref="R56:W56" si="22">ABS(D56-J56)</f>
        <v>0.251612903225806</v>
      </c>
      <c r="S56" s="24">
        <f t="shared" si="22"/>
        <v>0.167741935483871</v>
      </c>
      <c r="T56" s="24">
        <f t="shared" si="22"/>
        <v>0.0387096774193549</v>
      </c>
      <c r="U56" s="24">
        <f t="shared" si="22"/>
        <v>0.0903225806451613</v>
      </c>
      <c r="V56" s="24">
        <f t="shared" si="22"/>
        <v>0.135483870967742</v>
      </c>
      <c r="W56" s="24">
        <f t="shared" si="22"/>
        <v>0</v>
      </c>
      <c r="X56" s="24">
        <f t="shared" si="7"/>
        <v>0.683870967741935</v>
      </c>
      <c r="Y56" s="24">
        <f t="shared" si="8"/>
        <v>1.4622641509434</v>
      </c>
      <c r="Z56" s="24"/>
      <c r="AB56" s="27"/>
      <c r="AC56" s="27"/>
      <c r="AD56" s="27"/>
      <c r="AE56" s="27"/>
      <c r="AF56" s="27"/>
      <c r="AG56" s="27"/>
    </row>
    <row r="57" s="1" customFormat="1" spans="2:33">
      <c r="B57" s="9">
        <v>9</v>
      </c>
      <c r="C57" s="10" t="s">
        <v>29</v>
      </c>
      <c r="D57" s="23">
        <f t="shared" ref="D57:H57" si="23">D13/$I13</f>
        <v>0.00207325501036628</v>
      </c>
      <c r="E57" s="23">
        <f t="shared" si="23"/>
        <v>0.00207325501036628</v>
      </c>
      <c r="F57" s="23">
        <f t="shared" si="23"/>
        <v>0.985487214927436</v>
      </c>
      <c r="G57" s="23">
        <f t="shared" si="23"/>
        <v>0.00414651002073255</v>
      </c>
      <c r="H57" s="23">
        <f t="shared" si="23"/>
        <v>0.00621976503109883</v>
      </c>
      <c r="I57" s="17">
        <f t="shared" si="5"/>
        <v>1</v>
      </c>
      <c r="J57" s="24">
        <v>0.2</v>
      </c>
      <c r="K57" s="24">
        <v>0.2</v>
      </c>
      <c r="L57" s="24">
        <v>0.2</v>
      </c>
      <c r="M57" s="25">
        <v>0.2</v>
      </c>
      <c r="N57" s="24">
        <v>0.2</v>
      </c>
      <c r="O57" s="25">
        <v>1</v>
      </c>
      <c r="P57" s="9">
        <v>10</v>
      </c>
      <c r="Q57" s="10" t="s">
        <v>29</v>
      </c>
      <c r="R57" s="24">
        <f t="shared" ref="R57:W57" si="24">ABS(D57-J57)</f>
        <v>0.197926744989634</v>
      </c>
      <c r="S57" s="24">
        <f t="shared" si="24"/>
        <v>0.197926744989634</v>
      </c>
      <c r="T57" s="24">
        <f t="shared" si="24"/>
        <v>0.785487214927436</v>
      </c>
      <c r="U57" s="24">
        <f t="shared" si="24"/>
        <v>0.195853489979267</v>
      </c>
      <c r="V57" s="24">
        <f t="shared" si="24"/>
        <v>0.193780234968901</v>
      </c>
      <c r="W57" s="24">
        <f t="shared" si="24"/>
        <v>0</v>
      </c>
      <c r="X57" s="24">
        <f t="shared" si="7"/>
        <v>1.57097442985487</v>
      </c>
      <c r="Y57" s="24">
        <f t="shared" si="8"/>
        <v>0.636547598099595</v>
      </c>
      <c r="Z57" s="24"/>
      <c r="AB57" s="27"/>
      <c r="AC57" s="27"/>
      <c r="AD57" s="27"/>
      <c r="AE57" s="27"/>
      <c r="AF57" s="27"/>
      <c r="AG57" s="27"/>
    </row>
    <row r="58" s="1" customFormat="1" spans="2:33">
      <c r="B58" s="9">
        <v>10</v>
      </c>
      <c r="C58" s="10" t="s">
        <v>30</v>
      </c>
      <c r="D58" s="23">
        <f t="shared" ref="D58:H58" si="25">D14/$I14</f>
        <v>0.238095238095238</v>
      </c>
      <c r="E58" s="23">
        <f t="shared" si="25"/>
        <v>0.0476190476190476</v>
      </c>
      <c r="F58" s="23">
        <f t="shared" si="25"/>
        <v>0.238095238095238</v>
      </c>
      <c r="G58" s="23">
        <f t="shared" si="25"/>
        <v>0.285714285714286</v>
      </c>
      <c r="H58" s="23">
        <f t="shared" si="25"/>
        <v>0.19047619047619</v>
      </c>
      <c r="I58" s="17">
        <f t="shared" ref="I58:I87" si="26">SUM(D58:H58)</f>
        <v>1</v>
      </c>
      <c r="J58" s="24">
        <v>0.2</v>
      </c>
      <c r="K58" s="24">
        <v>0.2</v>
      </c>
      <c r="L58" s="24">
        <v>0.2</v>
      </c>
      <c r="M58" s="25">
        <v>0.2</v>
      </c>
      <c r="N58" s="24">
        <v>0.2</v>
      </c>
      <c r="O58" s="25">
        <v>1</v>
      </c>
      <c r="P58" s="9">
        <v>12</v>
      </c>
      <c r="Q58" s="10" t="s">
        <v>30</v>
      </c>
      <c r="R58" s="24">
        <f t="shared" ref="R58:W58" si="27">ABS(D58-J58)</f>
        <v>0.0380952380952381</v>
      </c>
      <c r="S58" s="24">
        <f t="shared" si="27"/>
        <v>0.152380952380952</v>
      </c>
      <c r="T58" s="24">
        <f t="shared" si="27"/>
        <v>0.0380952380952381</v>
      </c>
      <c r="U58" s="24">
        <f t="shared" si="27"/>
        <v>0.0857142857142857</v>
      </c>
      <c r="V58" s="24">
        <f t="shared" si="27"/>
        <v>0.00952380952380955</v>
      </c>
      <c r="W58" s="24">
        <f t="shared" si="27"/>
        <v>0</v>
      </c>
      <c r="X58" s="24">
        <f t="shared" ref="X58:X87" si="28">SUM(R58:V58)</f>
        <v>0.323809523809524</v>
      </c>
      <c r="Y58" s="24">
        <f t="shared" ref="Y58:Y87" si="29">1/X58</f>
        <v>3.08823529411765</v>
      </c>
      <c r="Z58" s="24"/>
      <c r="AB58" s="27"/>
      <c r="AC58" s="27"/>
      <c r="AD58" s="27"/>
      <c r="AE58" s="27"/>
      <c r="AF58" s="27"/>
      <c r="AG58" s="27"/>
    </row>
    <row r="59" s="1" customFormat="1" spans="2:33">
      <c r="B59" s="9">
        <v>11</v>
      </c>
      <c r="C59" s="10" t="s">
        <v>31</v>
      </c>
      <c r="D59" s="23">
        <f t="shared" ref="D59:H59" si="30">D15/$I15</f>
        <v>0.222222222222222</v>
      </c>
      <c r="E59" s="23">
        <f t="shared" si="30"/>
        <v>0.111111111111111</v>
      </c>
      <c r="F59" s="23">
        <f t="shared" si="30"/>
        <v>0.333333333333333</v>
      </c>
      <c r="G59" s="23">
        <f t="shared" si="30"/>
        <v>0.222222222222222</v>
      </c>
      <c r="H59" s="23">
        <f t="shared" si="30"/>
        <v>0.111111111111111</v>
      </c>
      <c r="I59" s="12">
        <f t="shared" si="26"/>
        <v>1</v>
      </c>
      <c r="J59" s="24">
        <v>0.2</v>
      </c>
      <c r="K59" s="24">
        <v>0.2</v>
      </c>
      <c r="L59" s="24">
        <v>0.2</v>
      </c>
      <c r="M59" s="25">
        <v>0.2</v>
      </c>
      <c r="N59" s="24">
        <v>0.2</v>
      </c>
      <c r="O59" s="25">
        <v>1</v>
      </c>
      <c r="P59" s="9">
        <v>13</v>
      </c>
      <c r="Q59" s="10" t="s">
        <v>31</v>
      </c>
      <c r="R59" s="24">
        <f t="shared" ref="R59:W59" si="31">ABS(D59-J59)</f>
        <v>0.0222222222222222</v>
      </c>
      <c r="S59" s="24">
        <f t="shared" si="31"/>
        <v>0.0888888888888889</v>
      </c>
      <c r="T59" s="24">
        <f t="shared" si="31"/>
        <v>0.133333333333333</v>
      </c>
      <c r="U59" s="24">
        <f t="shared" si="31"/>
        <v>0.0222222222222222</v>
      </c>
      <c r="V59" s="24">
        <f t="shared" si="31"/>
        <v>0.0888888888888889</v>
      </c>
      <c r="W59" s="24">
        <f t="shared" si="31"/>
        <v>0</v>
      </c>
      <c r="X59" s="24">
        <f t="shared" si="28"/>
        <v>0.355555555555556</v>
      </c>
      <c r="Y59" s="24">
        <f t="shared" si="29"/>
        <v>2.8125</v>
      </c>
      <c r="Z59" s="24"/>
      <c r="AB59" s="27"/>
      <c r="AC59" s="27"/>
      <c r="AD59" s="27"/>
      <c r="AE59" s="27"/>
      <c r="AF59" s="27"/>
      <c r="AG59" s="27"/>
    </row>
    <row r="60" s="1" customFormat="1" spans="2:33">
      <c r="B60" s="9">
        <v>12</v>
      </c>
      <c r="C60" s="10" t="s">
        <v>32</v>
      </c>
      <c r="D60" s="23">
        <f t="shared" ref="D60:H60" si="32">D16/$I16</f>
        <v>0.0952380952380952</v>
      </c>
      <c r="E60" s="30">
        <f t="shared" si="32"/>
        <v>0</v>
      </c>
      <c r="F60" s="23">
        <f t="shared" si="32"/>
        <v>0.285714285714286</v>
      </c>
      <c r="G60" s="23">
        <f t="shared" si="32"/>
        <v>0.142857142857143</v>
      </c>
      <c r="H60" s="23">
        <f t="shared" si="32"/>
        <v>0.476190476190476</v>
      </c>
      <c r="I60" s="12">
        <f t="shared" si="26"/>
        <v>1</v>
      </c>
      <c r="J60" s="24">
        <v>0.2</v>
      </c>
      <c r="K60" s="24">
        <v>0.2</v>
      </c>
      <c r="L60" s="24">
        <v>0.2</v>
      </c>
      <c r="M60" s="25">
        <v>0.2</v>
      </c>
      <c r="N60" s="24">
        <v>0.2</v>
      </c>
      <c r="O60" s="25">
        <v>1</v>
      </c>
      <c r="P60" s="9">
        <v>14</v>
      </c>
      <c r="Q60" s="10" t="s">
        <v>32</v>
      </c>
      <c r="R60" s="24">
        <f t="shared" ref="R60:W60" si="33">ABS(D60-J60)</f>
        <v>0.104761904761905</v>
      </c>
      <c r="S60" s="24">
        <f t="shared" si="33"/>
        <v>0.2</v>
      </c>
      <c r="T60" s="24">
        <f t="shared" si="33"/>
        <v>0.0857142857142857</v>
      </c>
      <c r="U60" s="24">
        <f t="shared" si="33"/>
        <v>0.0571428571428572</v>
      </c>
      <c r="V60" s="24">
        <f t="shared" si="33"/>
        <v>0.276190476190476</v>
      </c>
      <c r="W60" s="24">
        <f t="shared" si="33"/>
        <v>0</v>
      </c>
      <c r="X60" s="24">
        <f t="shared" si="28"/>
        <v>0.723809523809524</v>
      </c>
      <c r="Y60" s="24">
        <f t="shared" si="29"/>
        <v>1.38157894736842</v>
      </c>
      <c r="Z60" s="24"/>
      <c r="AB60" s="27"/>
      <c r="AC60" s="27"/>
      <c r="AD60" s="27"/>
      <c r="AE60" s="27"/>
      <c r="AF60" s="27"/>
      <c r="AG60" s="27"/>
    </row>
    <row r="61" s="1" customFormat="1" spans="2:33">
      <c r="B61" s="9">
        <v>13</v>
      </c>
      <c r="C61" s="10" t="s">
        <v>33</v>
      </c>
      <c r="D61" s="23">
        <f t="shared" ref="D61:H61" si="34">D17/$I17</f>
        <v>0.47887323943662</v>
      </c>
      <c r="E61" s="23">
        <f t="shared" si="34"/>
        <v>0.0140845070422535</v>
      </c>
      <c r="F61" s="23">
        <f t="shared" si="34"/>
        <v>0.0845070422535211</v>
      </c>
      <c r="G61" s="23">
        <f t="shared" si="34"/>
        <v>0.0845070422535211</v>
      </c>
      <c r="H61" s="23">
        <f t="shared" si="34"/>
        <v>0.338028169014085</v>
      </c>
      <c r="I61" s="12">
        <f t="shared" si="26"/>
        <v>1</v>
      </c>
      <c r="J61" s="24">
        <v>0.2</v>
      </c>
      <c r="K61" s="24">
        <v>0.2</v>
      </c>
      <c r="L61" s="24">
        <v>0.2</v>
      </c>
      <c r="M61" s="25">
        <v>0.2</v>
      </c>
      <c r="N61" s="24">
        <v>0.2</v>
      </c>
      <c r="O61" s="25">
        <v>1</v>
      </c>
      <c r="P61" s="9">
        <v>15</v>
      </c>
      <c r="Q61" s="10" t="s">
        <v>33</v>
      </c>
      <c r="R61" s="24">
        <f t="shared" ref="R61:W61" si="35">ABS(D61-J61)</f>
        <v>0.27887323943662</v>
      </c>
      <c r="S61" s="24">
        <f t="shared" si="35"/>
        <v>0.185915492957746</v>
      </c>
      <c r="T61" s="24">
        <f t="shared" si="35"/>
        <v>0.115492957746479</v>
      </c>
      <c r="U61" s="24">
        <f t="shared" si="35"/>
        <v>0.115492957746479</v>
      </c>
      <c r="V61" s="24">
        <f t="shared" si="35"/>
        <v>0.138028169014084</v>
      </c>
      <c r="W61" s="24">
        <f t="shared" si="35"/>
        <v>0</v>
      </c>
      <c r="X61" s="24">
        <f t="shared" si="28"/>
        <v>0.833802816901408</v>
      </c>
      <c r="Y61" s="24">
        <f t="shared" si="29"/>
        <v>1.19932432432432</v>
      </c>
      <c r="Z61" s="24"/>
      <c r="AB61" s="27"/>
      <c r="AC61" s="27"/>
      <c r="AD61" s="27"/>
      <c r="AE61" s="27"/>
      <c r="AF61" s="27"/>
      <c r="AG61" s="27"/>
    </row>
    <row r="62" s="1" customFormat="1" spans="2:33">
      <c r="B62" s="9">
        <v>14</v>
      </c>
      <c r="C62" s="10" t="s">
        <v>34</v>
      </c>
      <c r="D62" s="23">
        <f t="shared" ref="D62:H62" si="36">D18/$I18</f>
        <v>0.151515151515152</v>
      </c>
      <c r="E62" s="23">
        <f t="shared" si="36"/>
        <v>0.0303030303030303</v>
      </c>
      <c r="F62" s="23">
        <f t="shared" si="36"/>
        <v>0.303030303030303</v>
      </c>
      <c r="G62" s="23">
        <f t="shared" si="36"/>
        <v>0.181818181818182</v>
      </c>
      <c r="H62" s="23">
        <f t="shared" si="36"/>
        <v>0.333333333333333</v>
      </c>
      <c r="I62" s="12">
        <f t="shared" si="26"/>
        <v>1</v>
      </c>
      <c r="J62" s="24">
        <v>0.2</v>
      </c>
      <c r="K62" s="24">
        <v>0.2</v>
      </c>
      <c r="L62" s="24">
        <v>0.2</v>
      </c>
      <c r="M62" s="25">
        <v>0.2</v>
      </c>
      <c r="N62" s="24">
        <v>0.2</v>
      </c>
      <c r="O62" s="25">
        <v>1</v>
      </c>
      <c r="P62" s="9">
        <v>16</v>
      </c>
      <c r="Q62" s="10" t="s">
        <v>34</v>
      </c>
      <c r="R62" s="24">
        <f t="shared" ref="R62:W62" si="37">ABS(D62-J62)</f>
        <v>0.0484848484848485</v>
      </c>
      <c r="S62" s="24">
        <f t="shared" si="37"/>
        <v>0.16969696969697</v>
      </c>
      <c r="T62" s="24">
        <f t="shared" si="37"/>
        <v>0.103030303030303</v>
      </c>
      <c r="U62" s="24">
        <f t="shared" si="37"/>
        <v>0.0181818181818182</v>
      </c>
      <c r="V62" s="24">
        <f t="shared" si="37"/>
        <v>0.133333333333333</v>
      </c>
      <c r="W62" s="24">
        <f t="shared" si="37"/>
        <v>0</v>
      </c>
      <c r="X62" s="24">
        <f t="shared" si="28"/>
        <v>0.472727272727273</v>
      </c>
      <c r="Y62" s="24">
        <f t="shared" si="29"/>
        <v>2.11538461538462</v>
      </c>
      <c r="Z62" s="24"/>
      <c r="AB62" s="27"/>
      <c r="AC62" s="27"/>
      <c r="AD62" s="27"/>
      <c r="AE62" s="27"/>
      <c r="AF62" s="27"/>
      <c r="AG62" s="27"/>
    </row>
    <row r="63" s="1" customFormat="1" spans="2:33">
      <c r="B63" s="9">
        <v>15</v>
      </c>
      <c r="C63" s="10" t="s">
        <v>35</v>
      </c>
      <c r="D63" s="23">
        <f t="shared" ref="D63:H63" si="38">D19/$I19</f>
        <v>0.286764705882353</v>
      </c>
      <c r="E63" s="23">
        <f t="shared" si="38"/>
        <v>0.0147058823529412</v>
      </c>
      <c r="F63" s="23">
        <f t="shared" si="38"/>
        <v>0.25</v>
      </c>
      <c r="G63" s="23">
        <f t="shared" si="38"/>
        <v>0.0441176470588235</v>
      </c>
      <c r="H63" s="23">
        <f t="shared" si="38"/>
        <v>0.404411764705882</v>
      </c>
      <c r="I63" s="12">
        <f t="shared" si="26"/>
        <v>1</v>
      </c>
      <c r="J63" s="24">
        <v>0.2</v>
      </c>
      <c r="K63" s="24">
        <v>0.2</v>
      </c>
      <c r="L63" s="24">
        <v>0.2</v>
      </c>
      <c r="M63" s="25">
        <v>0.2</v>
      </c>
      <c r="N63" s="24">
        <v>0.2</v>
      </c>
      <c r="O63" s="25">
        <v>1</v>
      </c>
      <c r="P63" s="9">
        <v>17</v>
      </c>
      <c r="Q63" s="10" t="s">
        <v>35</v>
      </c>
      <c r="R63" s="24">
        <f t="shared" ref="R63:W63" si="39">ABS(D63-J63)</f>
        <v>0.0867647058823529</v>
      </c>
      <c r="S63" s="24">
        <f t="shared" si="39"/>
        <v>0.185294117647059</v>
      </c>
      <c r="T63" s="24">
        <f t="shared" si="39"/>
        <v>0.05</v>
      </c>
      <c r="U63" s="24">
        <f t="shared" si="39"/>
        <v>0.155882352941176</v>
      </c>
      <c r="V63" s="24">
        <f t="shared" si="39"/>
        <v>0.204411764705882</v>
      </c>
      <c r="W63" s="24">
        <f t="shared" si="39"/>
        <v>0</v>
      </c>
      <c r="X63" s="24">
        <f t="shared" si="28"/>
        <v>0.682352941176471</v>
      </c>
      <c r="Y63" s="24">
        <f t="shared" si="29"/>
        <v>1.46551724137931</v>
      </c>
      <c r="Z63" s="24"/>
      <c r="AB63" s="27"/>
      <c r="AC63" s="27"/>
      <c r="AD63" s="27"/>
      <c r="AE63" s="27"/>
      <c r="AF63" s="27"/>
      <c r="AG63" s="27"/>
    </row>
    <row r="64" s="1" customFormat="1" spans="2:33">
      <c r="B64" s="9">
        <v>16</v>
      </c>
      <c r="C64" s="10" t="s">
        <v>36</v>
      </c>
      <c r="D64" s="23">
        <f t="shared" ref="D64:H64" si="40">D20/$I20</f>
        <v>0.00911728139245752</v>
      </c>
      <c r="E64" s="23">
        <f t="shared" si="40"/>
        <v>0.0149191877331123</v>
      </c>
      <c r="F64" s="23">
        <f t="shared" si="40"/>
        <v>0.409863240779113</v>
      </c>
      <c r="G64" s="23">
        <f t="shared" si="40"/>
        <v>0.00372979693327808</v>
      </c>
      <c r="H64" s="23">
        <f t="shared" si="40"/>
        <v>0.562370493162039</v>
      </c>
      <c r="I64" s="12">
        <f t="shared" si="26"/>
        <v>1</v>
      </c>
      <c r="J64" s="24">
        <v>0.2</v>
      </c>
      <c r="K64" s="24">
        <v>0.2</v>
      </c>
      <c r="L64" s="24">
        <v>0.2</v>
      </c>
      <c r="M64" s="25">
        <v>0.2</v>
      </c>
      <c r="N64" s="24">
        <v>0.2</v>
      </c>
      <c r="O64" s="25">
        <v>1</v>
      </c>
      <c r="P64" s="9">
        <v>18</v>
      </c>
      <c r="Q64" s="10" t="s">
        <v>36</v>
      </c>
      <c r="R64" s="24">
        <f t="shared" ref="R64:W64" si="41">ABS(D64-J64)</f>
        <v>0.190882718607542</v>
      </c>
      <c r="S64" s="24">
        <f t="shared" si="41"/>
        <v>0.185080812266888</v>
      </c>
      <c r="T64" s="24">
        <f t="shared" si="41"/>
        <v>0.209863240779113</v>
      </c>
      <c r="U64" s="24">
        <f t="shared" si="41"/>
        <v>0.196270203066722</v>
      </c>
      <c r="V64" s="24">
        <f t="shared" si="41"/>
        <v>0.362370493162039</v>
      </c>
      <c r="W64" s="24">
        <f t="shared" si="41"/>
        <v>0</v>
      </c>
      <c r="X64" s="24">
        <f t="shared" si="28"/>
        <v>1.1444674678823</v>
      </c>
      <c r="Y64" s="24">
        <f t="shared" si="29"/>
        <v>0.873768829663963</v>
      </c>
      <c r="Z64" s="24"/>
      <c r="AB64" s="27"/>
      <c r="AC64" s="27"/>
      <c r="AD64" s="27"/>
      <c r="AE64" s="27"/>
      <c r="AF64" s="27"/>
      <c r="AG64" s="27"/>
    </row>
    <row r="65" s="1" customFormat="1" spans="2:33">
      <c r="B65" s="9">
        <v>17</v>
      </c>
      <c r="C65" s="10" t="s">
        <v>37</v>
      </c>
      <c r="D65" s="23">
        <f t="shared" ref="D65:H65" si="42">D21/$I21</f>
        <v>0.324324324324324</v>
      </c>
      <c r="E65" s="23">
        <f t="shared" si="42"/>
        <v>0.00675675675675676</v>
      </c>
      <c r="F65" s="23">
        <f t="shared" si="42"/>
        <v>0.27027027027027</v>
      </c>
      <c r="G65" s="23">
        <f t="shared" si="42"/>
        <v>0.0202702702702703</v>
      </c>
      <c r="H65" s="23">
        <f t="shared" si="42"/>
        <v>0.378378378378378</v>
      </c>
      <c r="I65" s="12">
        <f t="shared" si="26"/>
        <v>1</v>
      </c>
      <c r="J65" s="24">
        <v>0.2</v>
      </c>
      <c r="K65" s="24">
        <v>0.2</v>
      </c>
      <c r="L65" s="24">
        <v>0.2</v>
      </c>
      <c r="M65" s="25">
        <v>0.2</v>
      </c>
      <c r="N65" s="24">
        <v>0.2</v>
      </c>
      <c r="O65" s="25">
        <v>1</v>
      </c>
      <c r="P65" s="9">
        <v>19</v>
      </c>
      <c r="Q65" s="10" t="s">
        <v>37</v>
      </c>
      <c r="R65" s="24">
        <f t="shared" ref="R65:W65" si="43">ABS(D65-J65)</f>
        <v>0.124324324324324</v>
      </c>
      <c r="S65" s="24">
        <f t="shared" si="43"/>
        <v>0.193243243243243</v>
      </c>
      <c r="T65" s="24">
        <f t="shared" si="43"/>
        <v>0.0702702702702703</v>
      </c>
      <c r="U65" s="24">
        <f t="shared" si="43"/>
        <v>0.17972972972973</v>
      </c>
      <c r="V65" s="24">
        <f t="shared" si="43"/>
        <v>0.178378378378378</v>
      </c>
      <c r="W65" s="24">
        <f t="shared" si="43"/>
        <v>0</v>
      </c>
      <c r="X65" s="24">
        <f t="shared" si="28"/>
        <v>0.745945945945946</v>
      </c>
      <c r="Y65" s="24">
        <f t="shared" si="29"/>
        <v>1.34057971014493</v>
      </c>
      <c r="Z65" s="24"/>
      <c r="AB65" s="27"/>
      <c r="AC65" s="27"/>
      <c r="AD65" s="27"/>
      <c r="AE65" s="27"/>
      <c r="AF65" s="27"/>
      <c r="AG65" s="27"/>
    </row>
    <row r="66" s="1" customFormat="1" spans="2:33">
      <c r="B66" s="9">
        <v>18</v>
      </c>
      <c r="C66" s="10" t="s">
        <v>38</v>
      </c>
      <c r="D66" s="23">
        <f t="shared" ref="D66:H66" si="44">D22/$I22</f>
        <v>0.1</v>
      </c>
      <c r="E66" s="23">
        <f t="shared" si="44"/>
        <v>0.1</v>
      </c>
      <c r="F66" s="23">
        <f t="shared" si="44"/>
        <v>0.4</v>
      </c>
      <c r="G66" s="23">
        <f t="shared" si="44"/>
        <v>0.1</v>
      </c>
      <c r="H66" s="23">
        <f t="shared" si="44"/>
        <v>0.3</v>
      </c>
      <c r="I66" s="12">
        <f t="shared" si="26"/>
        <v>1</v>
      </c>
      <c r="J66" s="24">
        <v>0.2</v>
      </c>
      <c r="K66" s="24">
        <v>0.2</v>
      </c>
      <c r="L66" s="24">
        <v>0.2</v>
      </c>
      <c r="M66" s="25">
        <v>0.2</v>
      </c>
      <c r="N66" s="24">
        <v>0.2</v>
      </c>
      <c r="O66" s="25">
        <v>1</v>
      </c>
      <c r="P66" s="9">
        <v>20</v>
      </c>
      <c r="Q66" s="10" t="s">
        <v>38</v>
      </c>
      <c r="R66" s="24">
        <f t="shared" ref="R66:W66" si="45">ABS(D66-J66)</f>
        <v>0.1</v>
      </c>
      <c r="S66" s="24">
        <f t="shared" si="45"/>
        <v>0.1</v>
      </c>
      <c r="T66" s="24">
        <f t="shared" si="45"/>
        <v>0.2</v>
      </c>
      <c r="U66" s="24">
        <f t="shared" si="45"/>
        <v>0.1</v>
      </c>
      <c r="V66" s="24">
        <f t="shared" si="45"/>
        <v>0.1</v>
      </c>
      <c r="W66" s="24">
        <f t="shared" si="45"/>
        <v>0</v>
      </c>
      <c r="X66" s="24">
        <f t="shared" si="28"/>
        <v>0.6</v>
      </c>
      <c r="Y66" s="24">
        <f t="shared" si="29"/>
        <v>1.66666666666667</v>
      </c>
      <c r="Z66" s="24"/>
      <c r="AB66" s="27"/>
      <c r="AC66" s="27"/>
      <c r="AD66" s="27"/>
      <c r="AE66" s="27"/>
      <c r="AF66" s="27"/>
      <c r="AG66" s="27"/>
    </row>
    <row r="67" s="1" customFormat="1" spans="2:33">
      <c r="B67" s="9">
        <v>19</v>
      </c>
      <c r="C67" s="10" t="s">
        <v>39</v>
      </c>
      <c r="D67" s="23">
        <f t="shared" ref="D67:H67" si="46">D23/$I23</f>
        <v>0.0405405405405405</v>
      </c>
      <c r="E67" s="23">
        <f t="shared" si="46"/>
        <v>0.0135135135135135</v>
      </c>
      <c r="F67" s="23">
        <f t="shared" si="46"/>
        <v>0.0810810810810811</v>
      </c>
      <c r="G67" s="23">
        <f t="shared" si="46"/>
        <v>0.486486486486487</v>
      </c>
      <c r="H67" s="23">
        <f t="shared" si="46"/>
        <v>0.378378378378378</v>
      </c>
      <c r="I67" s="12">
        <f t="shared" si="26"/>
        <v>1</v>
      </c>
      <c r="J67" s="24">
        <v>0.2</v>
      </c>
      <c r="K67" s="24">
        <v>0.2</v>
      </c>
      <c r="L67" s="24">
        <v>0.2</v>
      </c>
      <c r="M67" s="25">
        <v>0.2</v>
      </c>
      <c r="N67" s="24">
        <v>0.2</v>
      </c>
      <c r="O67" s="25">
        <v>1</v>
      </c>
      <c r="P67" s="9">
        <v>21</v>
      </c>
      <c r="Q67" s="10" t="s">
        <v>39</v>
      </c>
      <c r="R67" s="24">
        <f t="shared" ref="R67:W67" si="47">ABS(D67-J67)</f>
        <v>0.159459459459459</v>
      </c>
      <c r="S67" s="24">
        <f t="shared" si="47"/>
        <v>0.186486486486486</v>
      </c>
      <c r="T67" s="24">
        <f t="shared" si="47"/>
        <v>0.118918918918919</v>
      </c>
      <c r="U67" s="24">
        <f t="shared" si="47"/>
        <v>0.286486486486487</v>
      </c>
      <c r="V67" s="24">
        <f t="shared" si="47"/>
        <v>0.178378378378378</v>
      </c>
      <c r="W67" s="24">
        <f t="shared" si="47"/>
        <v>0</v>
      </c>
      <c r="X67" s="24">
        <f t="shared" si="28"/>
        <v>0.92972972972973</v>
      </c>
      <c r="Y67" s="24">
        <f t="shared" si="29"/>
        <v>1.07558139534884</v>
      </c>
      <c r="Z67" s="24"/>
      <c r="AB67" s="27"/>
      <c r="AC67" s="27"/>
      <c r="AD67" s="27"/>
      <c r="AE67" s="27"/>
      <c r="AF67" s="27"/>
      <c r="AG67" s="27"/>
    </row>
    <row r="68" s="1" customFormat="1" spans="2:33">
      <c r="B68" s="9">
        <v>20</v>
      </c>
      <c r="C68" s="10" t="s">
        <v>40</v>
      </c>
      <c r="D68" s="23">
        <f t="shared" ref="D68:H68" si="48">D24/$I24</f>
        <v>0.137931034482759</v>
      </c>
      <c r="E68" s="23">
        <f t="shared" si="48"/>
        <v>0.0344827586206897</v>
      </c>
      <c r="F68" s="23">
        <f t="shared" si="48"/>
        <v>0.206896551724138</v>
      </c>
      <c r="G68" s="23">
        <f t="shared" si="48"/>
        <v>0.206896551724138</v>
      </c>
      <c r="H68" s="23">
        <f t="shared" si="48"/>
        <v>0.413793103448276</v>
      </c>
      <c r="I68" s="12">
        <f t="shared" si="26"/>
        <v>1</v>
      </c>
      <c r="J68" s="24">
        <v>0.2</v>
      </c>
      <c r="K68" s="24">
        <v>0.2</v>
      </c>
      <c r="L68" s="24">
        <v>0.2</v>
      </c>
      <c r="M68" s="25">
        <v>0.2</v>
      </c>
      <c r="N68" s="24">
        <v>0.2</v>
      </c>
      <c r="O68" s="25">
        <v>1</v>
      </c>
      <c r="P68" s="9">
        <v>22</v>
      </c>
      <c r="Q68" s="10" t="s">
        <v>40</v>
      </c>
      <c r="R68" s="24">
        <f t="shared" ref="R68:W68" si="49">ABS(D68-J68)</f>
        <v>0.0620689655172414</v>
      </c>
      <c r="S68" s="24">
        <f t="shared" si="49"/>
        <v>0.16551724137931</v>
      </c>
      <c r="T68" s="24">
        <f t="shared" si="49"/>
        <v>0.00689655172413792</v>
      </c>
      <c r="U68" s="24">
        <f t="shared" si="49"/>
        <v>0.00689655172413792</v>
      </c>
      <c r="V68" s="24">
        <f t="shared" si="49"/>
        <v>0.213793103448276</v>
      </c>
      <c r="W68" s="24">
        <f t="shared" si="49"/>
        <v>0</v>
      </c>
      <c r="X68" s="24">
        <f t="shared" si="28"/>
        <v>0.455172413793103</v>
      </c>
      <c r="Y68" s="24">
        <f t="shared" si="29"/>
        <v>2.1969696969697</v>
      </c>
      <c r="Z68" s="24"/>
      <c r="AB68" s="27"/>
      <c r="AC68" s="27"/>
      <c r="AD68" s="27"/>
      <c r="AE68" s="27"/>
      <c r="AF68" s="27"/>
      <c r="AG68" s="27"/>
    </row>
    <row r="69" s="1" customFormat="1" spans="2:33">
      <c r="B69" s="9">
        <v>21</v>
      </c>
      <c r="C69" s="10" t="s">
        <v>41</v>
      </c>
      <c r="D69" s="23">
        <f t="shared" ref="D69:H69" si="50">D25/$I25</f>
        <v>0.0588235294117647</v>
      </c>
      <c r="E69" s="23">
        <f t="shared" si="50"/>
        <v>0.0588235294117647</v>
      </c>
      <c r="F69" s="23">
        <f t="shared" si="50"/>
        <v>0.352941176470588</v>
      </c>
      <c r="G69" s="23">
        <f t="shared" si="50"/>
        <v>0.352941176470588</v>
      </c>
      <c r="H69" s="23">
        <f t="shared" si="50"/>
        <v>0.176470588235294</v>
      </c>
      <c r="I69" s="12">
        <f t="shared" si="26"/>
        <v>1</v>
      </c>
      <c r="J69" s="24">
        <v>0.2</v>
      </c>
      <c r="K69" s="24">
        <v>0.2</v>
      </c>
      <c r="L69" s="24">
        <v>0.2</v>
      </c>
      <c r="M69" s="25">
        <v>0.2</v>
      </c>
      <c r="N69" s="24">
        <v>0.2</v>
      </c>
      <c r="O69" s="25">
        <v>1</v>
      </c>
      <c r="P69" s="9">
        <v>23</v>
      </c>
      <c r="Q69" s="10" t="s">
        <v>41</v>
      </c>
      <c r="R69" s="24">
        <f t="shared" ref="R69:W69" si="51">ABS(D69-J69)</f>
        <v>0.141176470588235</v>
      </c>
      <c r="S69" s="24">
        <f t="shared" si="51"/>
        <v>0.141176470588235</v>
      </c>
      <c r="T69" s="24">
        <f t="shared" si="51"/>
        <v>0.152941176470588</v>
      </c>
      <c r="U69" s="24">
        <f t="shared" si="51"/>
        <v>0.152941176470588</v>
      </c>
      <c r="V69" s="24">
        <f t="shared" si="51"/>
        <v>0.0235294117647059</v>
      </c>
      <c r="W69" s="24">
        <f t="shared" si="51"/>
        <v>0</v>
      </c>
      <c r="X69" s="24">
        <f t="shared" si="28"/>
        <v>0.611764705882353</v>
      </c>
      <c r="Y69" s="24">
        <f t="shared" si="29"/>
        <v>1.63461538461538</v>
      </c>
      <c r="Z69" s="24"/>
      <c r="AB69" s="27"/>
      <c r="AC69" s="27"/>
      <c r="AD69" s="27"/>
      <c r="AE69" s="27"/>
      <c r="AF69" s="27"/>
      <c r="AG69" s="27"/>
    </row>
    <row r="70" s="1" customFormat="1" spans="2:33">
      <c r="B70" s="9">
        <v>22</v>
      </c>
      <c r="C70" s="10" t="s">
        <v>42</v>
      </c>
      <c r="D70" s="23">
        <f t="shared" ref="D70:H70" si="52">D26/$I26</f>
        <v>0.111111111111111</v>
      </c>
      <c r="E70" s="23">
        <f t="shared" si="52"/>
        <v>0.0555555555555556</v>
      </c>
      <c r="F70" s="23">
        <f t="shared" si="52"/>
        <v>0.555555555555556</v>
      </c>
      <c r="G70" s="23">
        <f t="shared" si="52"/>
        <v>0.222222222222222</v>
      </c>
      <c r="H70" s="23">
        <f t="shared" si="52"/>
        <v>0.0555555555555556</v>
      </c>
      <c r="I70" s="12">
        <f t="shared" si="26"/>
        <v>1</v>
      </c>
      <c r="J70" s="24">
        <v>0.2</v>
      </c>
      <c r="K70" s="24">
        <v>0.2</v>
      </c>
      <c r="L70" s="24">
        <v>0.2</v>
      </c>
      <c r="M70" s="25">
        <v>0.2</v>
      </c>
      <c r="N70" s="24">
        <v>0.2</v>
      </c>
      <c r="O70" s="25">
        <v>1</v>
      </c>
      <c r="P70" s="9">
        <v>24</v>
      </c>
      <c r="Q70" s="10" t="s">
        <v>42</v>
      </c>
      <c r="R70" s="24">
        <f t="shared" ref="R70:W70" si="53">ABS(D70-J70)</f>
        <v>0.0888888888888889</v>
      </c>
      <c r="S70" s="24">
        <f t="shared" si="53"/>
        <v>0.144444444444444</v>
      </c>
      <c r="T70" s="24">
        <f t="shared" si="53"/>
        <v>0.355555555555556</v>
      </c>
      <c r="U70" s="24">
        <f t="shared" si="53"/>
        <v>0.0222222222222222</v>
      </c>
      <c r="V70" s="24">
        <f t="shared" si="53"/>
        <v>0.144444444444444</v>
      </c>
      <c r="W70" s="24">
        <f t="shared" si="53"/>
        <v>0</v>
      </c>
      <c r="X70" s="24">
        <f t="shared" si="28"/>
        <v>0.755555555555556</v>
      </c>
      <c r="Y70" s="24">
        <f t="shared" si="29"/>
        <v>1.32352941176471</v>
      </c>
      <c r="Z70" s="24"/>
      <c r="AB70" s="27"/>
      <c r="AC70" s="27"/>
      <c r="AD70" s="27"/>
      <c r="AE70" s="27"/>
      <c r="AF70" s="27"/>
      <c r="AG70" s="27"/>
    </row>
    <row r="71" s="1" customFormat="1" spans="2:33">
      <c r="B71" s="9">
        <v>23</v>
      </c>
      <c r="C71" s="10" t="s">
        <v>43</v>
      </c>
      <c r="D71" s="23">
        <f t="shared" ref="D71:H71" si="54">D27/$I27</f>
        <v>0.1</v>
      </c>
      <c r="E71" s="23">
        <f t="shared" si="54"/>
        <v>0.0333333333333333</v>
      </c>
      <c r="F71" s="23">
        <f t="shared" si="54"/>
        <v>0.333333333333333</v>
      </c>
      <c r="G71" s="23">
        <f t="shared" si="54"/>
        <v>0.2</v>
      </c>
      <c r="H71" s="23">
        <f t="shared" si="54"/>
        <v>0.333333333333333</v>
      </c>
      <c r="I71" s="12">
        <f t="shared" si="26"/>
        <v>1</v>
      </c>
      <c r="J71" s="24">
        <v>0.2</v>
      </c>
      <c r="K71" s="24">
        <v>0.2</v>
      </c>
      <c r="L71" s="24">
        <v>0.2</v>
      </c>
      <c r="M71" s="25">
        <v>0.2</v>
      </c>
      <c r="N71" s="24">
        <v>0.2</v>
      </c>
      <c r="O71" s="25">
        <v>1</v>
      </c>
      <c r="P71" s="9">
        <v>25</v>
      </c>
      <c r="Q71" s="10" t="s">
        <v>43</v>
      </c>
      <c r="R71" s="24">
        <f t="shared" ref="R71:W71" si="55">ABS(D71-J71)</f>
        <v>0.1</v>
      </c>
      <c r="S71" s="24">
        <f t="shared" si="55"/>
        <v>0.166666666666667</v>
      </c>
      <c r="T71" s="24">
        <f t="shared" si="55"/>
        <v>0.133333333333333</v>
      </c>
      <c r="U71" s="24">
        <f t="shared" si="55"/>
        <v>0</v>
      </c>
      <c r="V71" s="24">
        <f t="shared" si="55"/>
        <v>0.133333333333333</v>
      </c>
      <c r="W71" s="24">
        <f t="shared" si="55"/>
        <v>0</v>
      </c>
      <c r="X71" s="24">
        <f t="shared" si="28"/>
        <v>0.533333333333333</v>
      </c>
      <c r="Y71" s="24">
        <f t="shared" si="29"/>
        <v>1.875</v>
      </c>
      <c r="Z71" s="24"/>
      <c r="AB71" s="27"/>
      <c r="AC71" s="27"/>
      <c r="AD71" s="27"/>
      <c r="AE71" s="27"/>
      <c r="AF71" s="27"/>
      <c r="AG71" s="27"/>
    </row>
    <row r="72" s="1" customFormat="1" spans="2:33">
      <c r="B72" s="9">
        <v>24</v>
      </c>
      <c r="C72" s="10" t="s">
        <v>44</v>
      </c>
      <c r="D72" s="23">
        <f t="shared" ref="D72:H72" si="56">D28/$I28</f>
        <v>0.294117647058824</v>
      </c>
      <c r="E72" s="23">
        <f t="shared" si="56"/>
        <v>0.0588235294117647</v>
      </c>
      <c r="F72" s="23">
        <f t="shared" si="56"/>
        <v>0.176470588235294</v>
      </c>
      <c r="G72" s="23">
        <f t="shared" si="56"/>
        <v>0.176470588235294</v>
      </c>
      <c r="H72" s="23">
        <f t="shared" si="56"/>
        <v>0.294117647058824</v>
      </c>
      <c r="I72" s="12">
        <f t="shared" si="26"/>
        <v>1</v>
      </c>
      <c r="J72" s="24">
        <v>0.2</v>
      </c>
      <c r="K72" s="24">
        <v>0.2</v>
      </c>
      <c r="L72" s="24">
        <v>0.2</v>
      </c>
      <c r="M72" s="25">
        <v>0.2</v>
      </c>
      <c r="N72" s="24">
        <v>0.2</v>
      </c>
      <c r="O72" s="25">
        <v>1</v>
      </c>
      <c r="P72" s="9">
        <v>26</v>
      </c>
      <c r="Q72" s="10" t="s">
        <v>44</v>
      </c>
      <c r="R72" s="24">
        <f t="shared" ref="R72:W72" si="57">ABS(D72-J72)</f>
        <v>0.0941176470588235</v>
      </c>
      <c r="S72" s="24">
        <f t="shared" si="57"/>
        <v>0.141176470588235</v>
      </c>
      <c r="T72" s="24">
        <f t="shared" si="57"/>
        <v>0.0235294117647059</v>
      </c>
      <c r="U72" s="24">
        <f t="shared" si="57"/>
        <v>0.0235294117647059</v>
      </c>
      <c r="V72" s="24">
        <f t="shared" si="57"/>
        <v>0.0941176470588235</v>
      </c>
      <c r="W72" s="24">
        <f t="shared" si="57"/>
        <v>0</v>
      </c>
      <c r="X72" s="24">
        <f t="shared" si="28"/>
        <v>0.376470588235294</v>
      </c>
      <c r="Y72" s="24">
        <f t="shared" si="29"/>
        <v>2.65625</v>
      </c>
      <c r="Z72" s="24"/>
      <c r="AB72" s="27"/>
      <c r="AC72" s="27"/>
      <c r="AD72" s="27"/>
      <c r="AE72" s="27"/>
      <c r="AF72" s="27"/>
      <c r="AG72" s="27"/>
    </row>
    <row r="73" s="1" customFormat="1" spans="2:33">
      <c r="B73" s="9">
        <v>25</v>
      </c>
      <c r="C73" s="10" t="s">
        <v>45</v>
      </c>
      <c r="D73" s="23">
        <f t="shared" ref="D73:H73" si="58">D29/$I29</f>
        <v>0.0227272727272727</v>
      </c>
      <c r="E73" s="23">
        <f t="shared" si="58"/>
        <v>0.0227272727272727</v>
      </c>
      <c r="F73" s="23">
        <f t="shared" si="58"/>
        <v>0.681818181818182</v>
      </c>
      <c r="G73" s="23">
        <f t="shared" si="58"/>
        <v>0.136363636363636</v>
      </c>
      <c r="H73" s="23">
        <f t="shared" si="58"/>
        <v>0.136363636363636</v>
      </c>
      <c r="I73" s="12">
        <f t="shared" si="26"/>
        <v>1</v>
      </c>
      <c r="J73" s="24">
        <v>0.2</v>
      </c>
      <c r="K73" s="24">
        <v>0.2</v>
      </c>
      <c r="L73" s="24">
        <v>0.2</v>
      </c>
      <c r="M73" s="25">
        <v>0.2</v>
      </c>
      <c r="N73" s="24">
        <v>0.2</v>
      </c>
      <c r="O73" s="25">
        <v>1</v>
      </c>
      <c r="P73" s="9">
        <v>27</v>
      </c>
      <c r="Q73" s="10" t="s">
        <v>45</v>
      </c>
      <c r="R73" s="24">
        <f t="shared" ref="R73:W73" si="59">ABS(D73-J73)</f>
        <v>0.177272727272727</v>
      </c>
      <c r="S73" s="24">
        <f t="shared" si="59"/>
        <v>0.177272727272727</v>
      </c>
      <c r="T73" s="24">
        <f t="shared" si="59"/>
        <v>0.481818181818182</v>
      </c>
      <c r="U73" s="24">
        <f t="shared" si="59"/>
        <v>0.0636363636363637</v>
      </c>
      <c r="V73" s="24">
        <f t="shared" si="59"/>
        <v>0.0636363636363637</v>
      </c>
      <c r="W73" s="24">
        <f t="shared" si="59"/>
        <v>0</v>
      </c>
      <c r="X73" s="24">
        <f t="shared" si="28"/>
        <v>0.963636363636364</v>
      </c>
      <c r="Y73" s="24">
        <f t="shared" si="29"/>
        <v>1.0377358490566</v>
      </c>
      <c r="Z73" s="24"/>
      <c r="AB73" s="27"/>
      <c r="AC73" s="27"/>
      <c r="AD73" s="27"/>
      <c r="AE73" s="27"/>
      <c r="AF73" s="27"/>
      <c r="AG73" s="27"/>
    </row>
    <row r="74" s="1" customFormat="1" spans="2:33">
      <c r="B74" s="9">
        <v>26</v>
      </c>
      <c r="C74" s="10" t="s">
        <v>46</v>
      </c>
      <c r="D74" s="23">
        <f t="shared" ref="D74:H74" si="60">D30/$I30</f>
        <v>0.0416666666666667</v>
      </c>
      <c r="E74" s="23">
        <f t="shared" si="60"/>
        <v>0.0416666666666667</v>
      </c>
      <c r="F74" s="23">
        <f t="shared" si="60"/>
        <v>0.416666666666667</v>
      </c>
      <c r="G74" s="23">
        <f t="shared" si="60"/>
        <v>0.25</v>
      </c>
      <c r="H74" s="23">
        <f t="shared" si="60"/>
        <v>0.25</v>
      </c>
      <c r="I74" s="12">
        <f t="shared" si="26"/>
        <v>1</v>
      </c>
      <c r="J74" s="24">
        <v>0.2</v>
      </c>
      <c r="K74" s="24">
        <v>0.2</v>
      </c>
      <c r="L74" s="24">
        <v>0.2</v>
      </c>
      <c r="M74" s="25">
        <v>0.2</v>
      </c>
      <c r="N74" s="24">
        <v>0.2</v>
      </c>
      <c r="O74" s="25">
        <v>1</v>
      </c>
      <c r="P74" s="9">
        <v>28</v>
      </c>
      <c r="Q74" s="10" t="s">
        <v>46</v>
      </c>
      <c r="R74" s="24">
        <f t="shared" ref="R74:W74" si="61">ABS(D74-J74)</f>
        <v>0.158333333333333</v>
      </c>
      <c r="S74" s="24">
        <f t="shared" si="61"/>
        <v>0.158333333333333</v>
      </c>
      <c r="T74" s="24">
        <f t="shared" si="61"/>
        <v>0.216666666666667</v>
      </c>
      <c r="U74" s="24">
        <f t="shared" si="61"/>
        <v>0.05</v>
      </c>
      <c r="V74" s="24">
        <f t="shared" si="61"/>
        <v>0.05</v>
      </c>
      <c r="W74" s="24">
        <f t="shared" si="61"/>
        <v>0</v>
      </c>
      <c r="X74" s="24">
        <f t="shared" si="28"/>
        <v>0.633333333333334</v>
      </c>
      <c r="Y74" s="24">
        <f t="shared" si="29"/>
        <v>1.57894736842105</v>
      </c>
      <c r="Z74" s="24"/>
      <c r="AB74" s="27"/>
      <c r="AC74" s="27"/>
      <c r="AD74" s="27"/>
      <c r="AE74" s="27"/>
      <c r="AF74" s="27"/>
      <c r="AG74" s="27"/>
    </row>
    <row r="75" s="1" customFormat="1" spans="2:33">
      <c r="B75" s="9">
        <v>27</v>
      </c>
      <c r="C75" s="10" t="s">
        <v>47</v>
      </c>
      <c r="D75" s="23">
        <f t="shared" ref="D75:H75" si="62">D31/$I31</f>
        <v>0.583333333333333</v>
      </c>
      <c r="E75" s="23">
        <f t="shared" si="62"/>
        <v>0.0208333333333333</v>
      </c>
      <c r="F75" s="23">
        <f t="shared" si="62"/>
        <v>0.166666666666667</v>
      </c>
      <c r="G75" s="23">
        <f t="shared" si="62"/>
        <v>0.166666666666667</v>
      </c>
      <c r="H75" s="23">
        <f t="shared" si="62"/>
        <v>0.0625</v>
      </c>
      <c r="I75" s="12">
        <f t="shared" si="26"/>
        <v>1</v>
      </c>
      <c r="J75" s="24">
        <v>0.2</v>
      </c>
      <c r="K75" s="24">
        <v>0.2</v>
      </c>
      <c r="L75" s="24">
        <v>0.2</v>
      </c>
      <c r="M75" s="25">
        <v>0.2</v>
      </c>
      <c r="N75" s="24">
        <v>0.2</v>
      </c>
      <c r="O75" s="25">
        <v>1</v>
      </c>
      <c r="P75" s="9">
        <v>29</v>
      </c>
      <c r="Q75" s="10" t="s">
        <v>47</v>
      </c>
      <c r="R75" s="24">
        <f t="shared" ref="R75:W75" si="63">ABS(D75-J75)</f>
        <v>0.383333333333333</v>
      </c>
      <c r="S75" s="24">
        <f t="shared" si="63"/>
        <v>0.179166666666667</v>
      </c>
      <c r="T75" s="24">
        <f t="shared" si="63"/>
        <v>0.0333333333333334</v>
      </c>
      <c r="U75" s="24">
        <f t="shared" si="63"/>
        <v>0.0333333333333334</v>
      </c>
      <c r="V75" s="24">
        <f t="shared" si="63"/>
        <v>0.1375</v>
      </c>
      <c r="W75" s="24">
        <f t="shared" si="63"/>
        <v>0</v>
      </c>
      <c r="X75" s="24">
        <f t="shared" si="28"/>
        <v>0.766666666666667</v>
      </c>
      <c r="Y75" s="24">
        <f t="shared" si="29"/>
        <v>1.30434782608696</v>
      </c>
      <c r="Z75" s="24"/>
      <c r="AB75" s="27"/>
      <c r="AC75" s="27"/>
      <c r="AD75" s="27"/>
      <c r="AE75" s="27"/>
      <c r="AF75" s="27"/>
      <c r="AG75" s="27"/>
    </row>
    <row r="76" s="1" customFormat="1" spans="2:33">
      <c r="B76" s="9">
        <v>28</v>
      </c>
      <c r="C76" s="10" t="s">
        <v>48</v>
      </c>
      <c r="D76" s="23">
        <f t="shared" ref="D76:H76" si="64">D32/$I32</f>
        <v>0.03125</v>
      </c>
      <c r="E76" s="23">
        <f t="shared" si="64"/>
        <v>0.03125</v>
      </c>
      <c r="F76" s="23">
        <f t="shared" si="64"/>
        <v>0.375</v>
      </c>
      <c r="G76" s="23">
        <f t="shared" si="64"/>
        <v>0.375</v>
      </c>
      <c r="H76" s="23">
        <f t="shared" si="64"/>
        <v>0.1875</v>
      </c>
      <c r="I76" s="12">
        <f t="shared" si="26"/>
        <v>1</v>
      </c>
      <c r="J76" s="24">
        <v>0.2</v>
      </c>
      <c r="K76" s="24">
        <v>0.2</v>
      </c>
      <c r="L76" s="24">
        <v>0.2</v>
      </c>
      <c r="M76" s="25">
        <v>0.2</v>
      </c>
      <c r="N76" s="24">
        <v>0.2</v>
      </c>
      <c r="O76" s="25">
        <v>1</v>
      </c>
      <c r="P76" s="9">
        <v>30</v>
      </c>
      <c r="Q76" s="10" t="s">
        <v>48</v>
      </c>
      <c r="R76" s="24">
        <f t="shared" ref="R76:W76" si="65">ABS(D76-J76)</f>
        <v>0.16875</v>
      </c>
      <c r="S76" s="24">
        <f t="shared" si="65"/>
        <v>0.16875</v>
      </c>
      <c r="T76" s="24">
        <f t="shared" si="65"/>
        <v>0.175</v>
      </c>
      <c r="U76" s="24">
        <f t="shared" si="65"/>
        <v>0.175</v>
      </c>
      <c r="V76" s="24">
        <f t="shared" si="65"/>
        <v>0.0125</v>
      </c>
      <c r="W76" s="24">
        <f t="shared" si="65"/>
        <v>0</v>
      </c>
      <c r="X76" s="24">
        <f t="shared" si="28"/>
        <v>0.7</v>
      </c>
      <c r="Y76" s="24">
        <f t="shared" si="29"/>
        <v>1.42857142857143</v>
      </c>
      <c r="Z76" s="24"/>
      <c r="AB76" s="27"/>
      <c r="AC76" s="27"/>
      <c r="AD76" s="27"/>
      <c r="AE76" s="27"/>
      <c r="AF76" s="27"/>
      <c r="AG76" s="27"/>
    </row>
    <row r="77" s="1" customFormat="1" spans="2:33">
      <c r="B77" s="9">
        <v>29</v>
      </c>
      <c r="C77" s="10" t="s">
        <v>49</v>
      </c>
      <c r="D77" s="23">
        <f t="shared" ref="D77:H77" si="66">D33/$I33</f>
        <v>0.0714285714285714</v>
      </c>
      <c r="E77" s="30">
        <f t="shared" si="66"/>
        <v>0</v>
      </c>
      <c r="F77" s="23">
        <f t="shared" si="66"/>
        <v>0.535714285714286</v>
      </c>
      <c r="G77" s="23">
        <f t="shared" si="66"/>
        <v>0.25</v>
      </c>
      <c r="H77" s="23">
        <f t="shared" si="66"/>
        <v>0.142857142857143</v>
      </c>
      <c r="I77" s="12">
        <f t="shared" si="26"/>
        <v>1</v>
      </c>
      <c r="J77" s="24">
        <v>0.2</v>
      </c>
      <c r="K77" s="24">
        <v>0.2</v>
      </c>
      <c r="L77" s="24">
        <v>0.2</v>
      </c>
      <c r="M77" s="25">
        <v>0.2</v>
      </c>
      <c r="N77" s="24">
        <v>0.2</v>
      </c>
      <c r="O77" s="25">
        <v>1</v>
      </c>
      <c r="P77" s="9">
        <v>31</v>
      </c>
      <c r="Q77" s="10" t="s">
        <v>49</v>
      </c>
      <c r="R77" s="24">
        <f t="shared" ref="R77:W77" si="67">ABS(D77-J77)</f>
        <v>0.128571428571429</v>
      </c>
      <c r="S77" s="24">
        <f t="shared" si="67"/>
        <v>0.2</v>
      </c>
      <c r="T77" s="24">
        <f t="shared" si="67"/>
        <v>0.335714285714286</v>
      </c>
      <c r="U77" s="24">
        <f t="shared" si="67"/>
        <v>0.05</v>
      </c>
      <c r="V77" s="24">
        <f t="shared" si="67"/>
        <v>0.0571428571428572</v>
      </c>
      <c r="W77" s="24">
        <f t="shared" si="67"/>
        <v>0</v>
      </c>
      <c r="X77" s="24">
        <f t="shared" si="28"/>
        <v>0.771428571428572</v>
      </c>
      <c r="Y77" s="24">
        <f t="shared" si="29"/>
        <v>1.2962962962963</v>
      </c>
      <c r="Z77" s="24"/>
      <c r="AB77" s="27"/>
      <c r="AC77" s="27"/>
      <c r="AD77" s="27"/>
      <c r="AE77" s="27"/>
      <c r="AF77" s="27"/>
      <c r="AG77" s="27"/>
    </row>
    <row r="78" s="1" customFormat="1" spans="2:33">
      <c r="B78" s="9">
        <v>30</v>
      </c>
      <c r="C78" s="10" t="s">
        <v>50</v>
      </c>
      <c r="D78" s="23">
        <f t="shared" ref="D78:H78" si="68">D34/$I34</f>
        <v>0.0769230769230769</v>
      </c>
      <c r="E78" s="23">
        <f t="shared" si="68"/>
        <v>0.0384615384615385</v>
      </c>
      <c r="F78" s="23">
        <f t="shared" si="68"/>
        <v>0.384615384615385</v>
      </c>
      <c r="G78" s="23">
        <f t="shared" si="68"/>
        <v>0.230769230769231</v>
      </c>
      <c r="H78" s="23">
        <f t="shared" si="68"/>
        <v>0.269230769230769</v>
      </c>
      <c r="I78" s="12">
        <f t="shared" si="26"/>
        <v>1</v>
      </c>
      <c r="J78" s="24">
        <v>0.2</v>
      </c>
      <c r="K78" s="24">
        <v>0.2</v>
      </c>
      <c r="L78" s="24">
        <v>0.2</v>
      </c>
      <c r="M78" s="25">
        <v>0.2</v>
      </c>
      <c r="N78" s="24">
        <v>0.2</v>
      </c>
      <c r="O78" s="25">
        <v>1</v>
      </c>
      <c r="P78" s="9">
        <v>32</v>
      </c>
      <c r="Q78" s="10" t="s">
        <v>50</v>
      </c>
      <c r="R78" s="24">
        <f t="shared" ref="R78:W78" si="69">ABS(D78-J78)</f>
        <v>0.123076923076923</v>
      </c>
      <c r="S78" s="24">
        <f t="shared" si="69"/>
        <v>0.161538461538462</v>
      </c>
      <c r="T78" s="24">
        <f t="shared" si="69"/>
        <v>0.184615384615385</v>
      </c>
      <c r="U78" s="24">
        <f t="shared" si="69"/>
        <v>0.0307692307692308</v>
      </c>
      <c r="V78" s="24">
        <f t="shared" si="69"/>
        <v>0.0692307692307692</v>
      </c>
      <c r="W78" s="24">
        <f t="shared" si="69"/>
        <v>0</v>
      </c>
      <c r="X78" s="24">
        <f t="shared" si="28"/>
        <v>0.569230769230769</v>
      </c>
      <c r="Y78" s="24">
        <f t="shared" si="29"/>
        <v>1.75675675675676</v>
      </c>
      <c r="Z78" s="24"/>
      <c r="AB78" s="27"/>
      <c r="AC78" s="27"/>
      <c r="AD78" s="27"/>
      <c r="AE78" s="27"/>
      <c r="AF78" s="27"/>
      <c r="AG78" s="27"/>
    </row>
    <row r="79" s="1" customFormat="1" spans="2:33">
      <c r="B79" s="9">
        <v>31</v>
      </c>
      <c r="C79" s="10" t="s">
        <v>51</v>
      </c>
      <c r="D79" s="23">
        <f t="shared" ref="D79:H79" si="70">D35/$I35</f>
        <v>0.05</v>
      </c>
      <c r="E79" s="28">
        <f t="shared" si="70"/>
        <v>0.05</v>
      </c>
      <c r="F79" s="23">
        <f t="shared" si="70"/>
        <v>0.6</v>
      </c>
      <c r="G79" s="23">
        <f t="shared" si="70"/>
        <v>0.1</v>
      </c>
      <c r="H79" s="23">
        <f t="shared" si="70"/>
        <v>0.2</v>
      </c>
      <c r="I79" s="12">
        <f t="shared" si="26"/>
        <v>1</v>
      </c>
      <c r="J79" s="24">
        <v>0.2</v>
      </c>
      <c r="K79" s="24">
        <v>0.2</v>
      </c>
      <c r="L79" s="24">
        <v>0.2</v>
      </c>
      <c r="M79" s="25">
        <v>0.2</v>
      </c>
      <c r="N79" s="24">
        <v>0.2</v>
      </c>
      <c r="O79" s="25">
        <v>1</v>
      </c>
      <c r="P79" s="9">
        <v>33</v>
      </c>
      <c r="Q79" s="10" t="s">
        <v>51</v>
      </c>
      <c r="R79" s="24">
        <f t="shared" ref="R79:W79" si="71">ABS(D79-J79)</f>
        <v>0.15</v>
      </c>
      <c r="S79" s="29">
        <v>0.8</v>
      </c>
      <c r="T79" s="24">
        <f t="shared" si="71"/>
        <v>0.4</v>
      </c>
      <c r="U79" s="24">
        <f t="shared" si="71"/>
        <v>0.1</v>
      </c>
      <c r="V79" s="24">
        <f t="shared" si="71"/>
        <v>0</v>
      </c>
      <c r="W79" s="24">
        <f t="shared" si="71"/>
        <v>0</v>
      </c>
      <c r="X79" s="24">
        <f t="shared" si="28"/>
        <v>1.45</v>
      </c>
      <c r="Y79" s="24">
        <f t="shared" si="29"/>
        <v>0.689655172413793</v>
      </c>
      <c r="Z79" s="24"/>
      <c r="AB79" s="27"/>
      <c r="AC79" s="27"/>
      <c r="AD79" s="27"/>
      <c r="AE79" s="27"/>
      <c r="AF79" s="27"/>
      <c r="AG79" s="27"/>
    </row>
    <row r="80" s="1" customFormat="1" spans="2:33">
      <c r="B80" s="9">
        <v>32</v>
      </c>
      <c r="C80" s="10" t="s">
        <v>52</v>
      </c>
      <c r="D80" s="23">
        <f t="shared" ref="D80:H80" si="72">D36/$I36</f>
        <v>0.0263157894736842</v>
      </c>
      <c r="E80" s="30">
        <f t="shared" si="72"/>
        <v>0</v>
      </c>
      <c r="F80" s="23">
        <f t="shared" si="72"/>
        <v>0.315789473684211</v>
      </c>
      <c r="G80" s="23">
        <f t="shared" si="72"/>
        <v>0.157894736842105</v>
      </c>
      <c r="H80" s="23">
        <f t="shared" si="72"/>
        <v>0.5</v>
      </c>
      <c r="I80" s="12">
        <f t="shared" si="26"/>
        <v>1</v>
      </c>
      <c r="J80" s="24">
        <v>0.2</v>
      </c>
      <c r="K80" s="24">
        <v>0.2</v>
      </c>
      <c r="L80" s="24">
        <v>0.2</v>
      </c>
      <c r="M80" s="25">
        <v>0.2</v>
      </c>
      <c r="N80" s="24">
        <v>0.2</v>
      </c>
      <c r="O80" s="25">
        <v>1</v>
      </c>
      <c r="P80" s="9">
        <v>34</v>
      </c>
      <c r="Q80" s="10" t="s">
        <v>52</v>
      </c>
      <c r="R80" s="24">
        <f t="shared" ref="R80:W80" si="73">ABS(D80-J80)</f>
        <v>0.173684210526316</v>
      </c>
      <c r="S80" s="29">
        <v>0.8</v>
      </c>
      <c r="T80" s="24">
        <f t="shared" si="73"/>
        <v>0.11578947368421</v>
      </c>
      <c r="U80" s="24">
        <f t="shared" si="73"/>
        <v>0.0421052631578948</v>
      </c>
      <c r="V80" s="24">
        <f t="shared" si="73"/>
        <v>0.3</v>
      </c>
      <c r="W80" s="24">
        <f t="shared" si="73"/>
        <v>0</v>
      </c>
      <c r="X80" s="24">
        <f t="shared" si="28"/>
        <v>1.43157894736842</v>
      </c>
      <c r="Y80" s="24">
        <f t="shared" si="29"/>
        <v>0.698529411764706</v>
      </c>
      <c r="Z80" s="24"/>
      <c r="AB80" s="27"/>
      <c r="AC80" s="27"/>
      <c r="AD80" s="27"/>
      <c r="AE80" s="27"/>
      <c r="AF80" s="27"/>
      <c r="AG80" s="27"/>
    </row>
    <row r="81" s="1" customFormat="1" spans="2:33">
      <c r="B81" s="9">
        <v>33</v>
      </c>
      <c r="C81" s="10" t="s">
        <v>53</v>
      </c>
      <c r="D81" s="23">
        <f t="shared" ref="D81:H81" si="74">D37/$I37</f>
        <v>0.102564102564103</v>
      </c>
      <c r="E81" s="23">
        <f t="shared" si="74"/>
        <v>0.0512820512820513</v>
      </c>
      <c r="F81" s="23">
        <f t="shared" si="74"/>
        <v>0.256410256410256</v>
      </c>
      <c r="G81" s="23">
        <f t="shared" si="74"/>
        <v>0.153846153846154</v>
      </c>
      <c r="H81" s="23">
        <f t="shared" si="74"/>
        <v>0.435897435897436</v>
      </c>
      <c r="I81" s="12">
        <f t="shared" si="26"/>
        <v>1</v>
      </c>
      <c r="J81" s="24">
        <v>0.2</v>
      </c>
      <c r="K81" s="24">
        <v>0.2</v>
      </c>
      <c r="L81" s="24">
        <v>0.2</v>
      </c>
      <c r="M81" s="25">
        <v>0.2</v>
      </c>
      <c r="N81" s="24">
        <v>0.2</v>
      </c>
      <c r="O81" s="25">
        <v>1</v>
      </c>
      <c r="P81" s="9">
        <v>35</v>
      </c>
      <c r="Q81" s="10" t="s">
        <v>53</v>
      </c>
      <c r="R81" s="24">
        <f t="shared" ref="R81:W81" si="75">ABS(D81-J81)</f>
        <v>0.0974358974358975</v>
      </c>
      <c r="S81" s="24">
        <f t="shared" si="75"/>
        <v>0.148717948717949</v>
      </c>
      <c r="T81" s="24">
        <f t="shared" si="75"/>
        <v>0.0564102564102564</v>
      </c>
      <c r="U81" s="24">
        <f t="shared" si="75"/>
        <v>0.0461538461538462</v>
      </c>
      <c r="V81" s="24">
        <f t="shared" si="75"/>
        <v>0.235897435897436</v>
      </c>
      <c r="W81" s="24">
        <f t="shared" si="75"/>
        <v>0</v>
      </c>
      <c r="X81" s="24">
        <f t="shared" si="28"/>
        <v>0.584615384615385</v>
      </c>
      <c r="Y81" s="24">
        <f t="shared" si="29"/>
        <v>1.71052631578947</v>
      </c>
      <c r="Z81" s="24"/>
      <c r="AB81" s="27"/>
      <c r="AC81" s="27"/>
      <c r="AD81" s="27"/>
      <c r="AE81" s="27"/>
      <c r="AF81" s="27"/>
      <c r="AG81" s="27"/>
    </row>
    <row r="82" s="1" customFormat="1" spans="2:33">
      <c r="B82" s="9">
        <v>34</v>
      </c>
      <c r="C82" s="10" t="s">
        <v>54</v>
      </c>
      <c r="D82" s="23">
        <f t="shared" ref="D82:H82" si="76">D38/$I38</f>
        <v>0.127659574468085</v>
      </c>
      <c r="E82" s="23">
        <f t="shared" si="76"/>
        <v>0.0212765957446809</v>
      </c>
      <c r="F82" s="23">
        <f t="shared" si="76"/>
        <v>0.382978723404255</v>
      </c>
      <c r="G82" s="23">
        <f t="shared" si="76"/>
        <v>0.170212765957447</v>
      </c>
      <c r="H82" s="23">
        <f t="shared" si="76"/>
        <v>0.297872340425532</v>
      </c>
      <c r="I82" s="12">
        <f t="shared" si="26"/>
        <v>1</v>
      </c>
      <c r="J82" s="24">
        <v>0.2</v>
      </c>
      <c r="K82" s="24">
        <v>0.2</v>
      </c>
      <c r="L82" s="24">
        <v>0.2</v>
      </c>
      <c r="M82" s="25">
        <v>0.2</v>
      </c>
      <c r="N82" s="24">
        <v>0.2</v>
      </c>
      <c r="O82" s="25">
        <v>1</v>
      </c>
      <c r="P82" s="9">
        <v>36</v>
      </c>
      <c r="Q82" s="10" t="s">
        <v>54</v>
      </c>
      <c r="R82" s="24">
        <f t="shared" ref="R82:W82" si="77">ABS(D82-J82)</f>
        <v>0.0723404255319149</v>
      </c>
      <c r="S82" s="24">
        <f t="shared" si="77"/>
        <v>0.178723404255319</v>
      </c>
      <c r="T82" s="24">
        <f t="shared" si="77"/>
        <v>0.182978723404255</v>
      </c>
      <c r="U82" s="24">
        <f t="shared" si="77"/>
        <v>0.0297872340425532</v>
      </c>
      <c r="V82" s="24">
        <f t="shared" si="77"/>
        <v>0.0978723404255319</v>
      </c>
      <c r="W82" s="24">
        <f t="shared" si="77"/>
        <v>0</v>
      </c>
      <c r="X82" s="24">
        <f t="shared" si="28"/>
        <v>0.561702127659574</v>
      </c>
      <c r="Y82" s="24">
        <f t="shared" si="29"/>
        <v>1.78030303030303</v>
      </c>
      <c r="Z82" s="24"/>
      <c r="AB82" s="27"/>
      <c r="AC82" s="27"/>
      <c r="AD82" s="27"/>
      <c r="AE82" s="27"/>
      <c r="AF82" s="27"/>
      <c r="AG82" s="27"/>
    </row>
    <row r="83" s="1" customFormat="1" spans="2:33">
      <c r="B83" s="9">
        <v>35</v>
      </c>
      <c r="C83" s="10" t="s">
        <v>55</v>
      </c>
      <c r="D83" s="23">
        <f t="shared" ref="D83:H83" si="78">D39/$I39</f>
        <v>0.506024096385542</v>
      </c>
      <c r="E83" s="23">
        <f t="shared" si="78"/>
        <v>0.036144578313253</v>
      </c>
      <c r="F83" s="23">
        <f t="shared" si="78"/>
        <v>0.240963855421687</v>
      </c>
      <c r="G83" s="23">
        <f t="shared" si="78"/>
        <v>0.0481927710843374</v>
      </c>
      <c r="H83" s="23">
        <f t="shared" si="78"/>
        <v>0.168674698795181</v>
      </c>
      <c r="I83" s="12">
        <f t="shared" si="26"/>
        <v>1</v>
      </c>
      <c r="J83" s="24">
        <v>0.2</v>
      </c>
      <c r="K83" s="24">
        <v>0.2</v>
      </c>
      <c r="L83" s="24">
        <v>0.2</v>
      </c>
      <c r="M83" s="25">
        <v>0.2</v>
      </c>
      <c r="N83" s="24">
        <v>0.2</v>
      </c>
      <c r="O83" s="25">
        <v>1</v>
      </c>
      <c r="P83" s="9">
        <v>37</v>
      </c>
      <c r="Q83" s="10" t="s">
        <v>55</v>
      </c>
      <c r="R83" s="24">
        <f t="shared" ref="R83:W83" si="79">ABS(D83-J83)</f>
        <v>0.306024096385542</v>
      </c>
      <c r="S83" s="24">
        <f t="shared" si="79"/>
        <v>0.163855421686747</v>
      </c>
      <c r="T83" s="24">
        <f t="shared" si="79"/>
        <v>0.0409638554216867</v>
      </c>
      <c r="U83" s="24">
        <f t="shared" si="79"/>
        <v>0.151807228915663</v>
      </c>
      <c r="V83" s="24">
        <f t="shared" si="79"/>
        <v>0.0313253012048193</v>
      </c>
      <c r="W83" s="24">
        <f t="shared" si="79"/>
        <v>0</v>
      </c>
      <c r="X83" s="24">
        <f t="shared" si="28"/>
        <v>0.693975903614458</v>
      </c>
      <c r="Y83" s="24">
        <f t="shared" si="29"/>
        <v>1.44097222222222</v>
      </c>
      <c r="Z83" s="24"/>
      <c r="AB83" s="27"/>
      <c r="AC83" s="27"/>
      <c r="AD83" s="27"/>
      <c r="AE83" s="27"/>
      <c r="AF83" s="27"/>
      <c r="AG83" s="27"/>
    </row>
    <row r="84" s="1" customFormat="1" spans="2:33">
      <c r="B84" s="9">
        <v>36</v>
      </c>
      <c r="C84" s="10" t="s">
        <v>56</v>
      </c>
      <c r="D84" s="23">
        <f t="shared" ref="D84:H84" si="80">D40/$I40</f>
        <v>0.0204081632653061</v>
      </c>
      <c r="E84" s="30">
        <f t="shared" si="80"/>
        <v>0</v>
      </c>
      <c r="F84" s="23">
        <f t="shared" si="80"/>
        <v>0.755102040816326</v>
      </c>
      <c r="G84" s="23">
        <f t="shared" si="80"/>
        <v>0.224489795918367</v>
      </c>
      <c r="H84" s="30">
        <f t="shared" si="80"/>
        <v>0</v>
      </c>
      <c r="I84" s="12">
        <f t="shared" si="26"/>
        <v>1</v>
      </c>
      <c r="J84" s="24">
        <v>0.2</v>
      </c>
      <c r="K84" s="24">
        <v>0.2</v>
      </c>
      <c r="L84" s="24">
        <v>0.2</v>
      </c>
      <c r="M84" s="25">
        <v>0.2</v>
      </c>
      <c r="N84" s="24">
        <v>0.2</v>
      </c>
      <c r="O84" s="25">
        <v>1</v>
      </c>
      <c r="P84" s="9">
        <v>38</v>
      </c>
      <c r="Q84" s="10" t="s">
        <v>56</v>
      </c>
      <c r="R84" s="24">
        <f t="shared" ref="R84:W84" si="81">ABS(D84-J84)</f>
        <v>0.179591836734694</v>
      </c>
      <c r="S84" s="24">
        <f t="shared" si="81"/>
        <v>0.2</v>
      </c>
      <c r="T84" s="24">
        <f t="shared" si="81"/>
        <v>0.555102040816327</v>
      </c>
      <c r="U84" s="24">
        <f t="shared" si="81"/>
        <v>0.0244897959183673</v>
      </c>
      <c r="V84" s="24">
        <f t="shared" si="81"/>
        <v>0.2</v>
      </c>
      <c r="W84" s="24">
        <f t="shared" si="81"/>
        <v>0</v>
      </c>
      <c r="X84" s="24">
        <f t="shared" si="28"/>
        <v>1.15918367346939</v>
      </c>
      <c r="Y84" s="24">
        <f t="shared" si="29"/>
        <v>0.862676056338028</v>
      </c>
      <c r="Z84" s="24"/>
      <c r="AB84" s="27"/>
      <c r="AC84" s="27"/>
      <c r="AD84" s="27"/>
      <c r="AE84" s="27"/>
      <c r="AF84" s="27"/>
      <c r="AG84" s="27"/>
    </row>
    <row r="85" s="1" customFormat="1" spans="2:33">
      <c r="B85" s="9">
        <v>37</v>
      </c>
      <c r="C85" s="10" t="s">
        <v>57</v>
      </c>
      <c r="D85" s="23">
        <f t="shared" ref="D85:H85" si="82">D41/$I41</f>
        <v>0.25</v>
      </c>
      <c r="E85" s="30">
        <f t="shared" si="82"/>
        <v>0</v>
      </c>
      <c r="F85" s="30">
        <f t="shared" si="82"/>
        <v>0</v>
      </c>
      <c r="G85" s="23">
        <f t="shared" si="82"/>
        <v>0.25</v>
      </c>
      <c r="H85" s="23">
        <f t="shared" si="82"/>
        <v>0.5</v>
      </c>
      <c r="I85" s="12">
        <f t="shared" si="26"/>
        <v>1</v>
      </c>
      <c r="J85" s="24">
        <v>0.2</v>
      </c>
      <c r="K85" s="24">
        <v>0.2</v>
      </c>
      <c r="L85" s="24">
        <v>0.2</v>
      </c>
      <c r="M85" s="25">
        <v>0.2</v>
      </c>
      <c r="N85" s="24">
        <v>0.2</v>
      </c>
      <c r="O85" s="25">
        <v>1</v>
      </c>
      <c r="P85" s="9">
        <v>39</v>
      </c>
      <c r="Q85" s="10" t="s">
        <v>57</v>
      </c>
      <c r="R85" s="24">
        <f t="shared" ref="R85:W85" si="83">ABS(D85-J85)</f>
        <v>0.05</v>
      </c>
      <c r="S85" s="29">
        <v>0.8</v>
      </c>
      <c r="T85" s="24">
        <f t="shared" si="83"/>
        <v>0.2</v>
      </c>
      <c r="U85" s="24">
        <f t="shared" si="83"/>
        <v>0.05</v>
      </c>
      <c r="V85" s="24">
        <f t="shared" si="83"/>
        <v>0.3</v>
      </c>
      <c r="W85" s="24">
        <f t="shared" si="83"/>
        <v>0</v>
      </c>
      <c r="X85" s="24">
        <f t="shared" si="28"/>
        <v>1.4</v>
      </c>
      <c r="Y85" s="24">
        <f t="shared" si="29"/>
        <v>0.714285714285714</v>
      </c>
      <c r="Z85" s="24"/>
      <c r="AB85" s="27"/>
      <c r="AC85" s="27"/>
      <c r="AD85" s="27"/>
      <c r="AE85" s="27"/>
      <c r="AF85" s="27"/>
      <c r="AG85" s="27"/>
    </row>
    <row r="86" s="1" customFormat="1" spans="2:33">
      <c r="B86" s="9">
        <v>38</v>
      </c>
      <c r="C86" s="10" t="s">
        <v>58</v>
      </c>
      <c r="D86" s="23">
        <f t="shared" ref="D86:H86" si="84">D42/$I42</f>
        <v>0.142857142857143</v>
      </c>
      <c r="E86" s="28">
        <f t="shared" si="84"/>
        <v>0.0714285714285714</v>
      </c>
      <c r="F86" s="23">
        <f t="shared" si="84"/>
        <v>0.285714285714286</v>
      </c>
      <c r="G86" s="23">
        <f t="shared" si="84"/>
        <v>0.142857142857143</v>
      </c>
      <c r="H86" s="23">
        <f t="shared" si="84"/>
        <v>0.357142857142857</v>
      </c>
      <c r="I86" s="12">
        <f t="shared" si="26"/>
        <v>1</v>
      </c>
      <c r="J86" s="24">
        <v>0.2</v>
      </c>
      <c r="K86" s="24">
        <v>0.2</v>
      </c>
      <c r="L86" s="24">
        <v>0.2</v>
      </c>
      <c r="M86" s="25">
        <v>0.2</v>
      </c>
      <c r="N86" s="24">
        <v>0.2</v>
      </c>
      <c r="O86" s="25">
        <v>1</v>
      </c>
      <c r="P86" s="9">
        <v>40</v>
      </c>
      <c r="Q86" s="10" t="s">
        <v>58</v>
      </c>
      <c r="R86" s="24">
        <f t="shared" ref="R86:W86" si="85">ABS(D86-J86)</f>
        <v>0.0571428571428572</v>
      </c>
      <c r="S86" s="29">
        <v>0.8</v>
      </c>
      <c r="T86" s="24">
        <f t="shared" si="85"/>
        <v>0.0857142857142857</v>
      </c>
      <c r="U86" s="24">
        <f t="shared" si="85"/>
        <v>0.0571428571428572</v>
      </c>
      <c r="V86" s="24">
        <f t="shared" si="85"/>
        <v>0.157142857142857</v>
      </c>
      <c r="W86" s="24">
        <f t="shared" si="85"/>
        <v>0</v>
      </c>
      <c r="X86" s="24">
        <f t="shared" si="28"/>
        <v>1.15714285714286</v>
      </c>
      <c r="Y86" s="24">
        <f t="shared" si="29"/>
        <v>0.864197530864198</v>
      </c>
      <c r="Z86" s="24"/>
      <c r="AB86" s="27"/>
      <c r="AC86" s="27"/>
      <c r="AD86" s="27"/>
      <c r="AE86" s="27"/>
      <c r="AF86" s="27"/>
      <c r="AG86" s="27"/>
    </row>
    <row r="87" s="1" customFormat="1" spans="2:33">
      <c r="B87" s="9">
        <v>39</v>
      </c>
      <c r="C87" s="10" t="s">
        <v>59</v>
      </c>
      <c r="D87" s="23">
        <f t="shared" ref="D87:H87" si="86">D43/$I43</f>
        <v>0.0416666666666667</v>
      </c>
      <c r="E87" s="28">
        <f t="shared" si="86"/>
        <v>0.0416666666666667</v>
      </c>
      <c r="F87" s="23">
        <f t="shared" si="86"/>
        <v>0.65</v>
      </c>
      <c r="G87" s="23">
        <f t="shared" si="86"/>
        <v>0.2</v>
      </c>
      <c r="H87" s="23">
        <f t="shared" si="86"/>
        <v>0.0666666666666667</v>
      </c>
      <c r="I87" s="12">
        <f t="shared" si="26"/>
        <v>1</v>
      </c>
      <c r="J87" s="24">
        <v>0.2</v>
      </c>
      <c r="K87" s="24">
        <v>0.2</v>
      </c>
      <c r="L87" s="24">
        <v>0.2</v>
      </c>
      <c r="M87" s="25">
        <v>0.2</v>
      </c>
      <c r="N87" s="24">
        <v>0.2</v>
      </c>
      <c r="O87" s="25">
        <v>1</v>
      </c>
      <c r="P87" s="9">
        <v>41</v>
      </c>
      <c r="Q87" s="10" t="s">
        <v>59</v>
      </c>
      <c r="R87" s="24">
        <f t="shared" ref="R87:W87" si="87">ABS(D87-J87)</f>
        <v>0.158333333333333</v>
      </c>
      <c r="S87" s="29">
        <v>0.8</v>
      </c>
      <c r="T87" s="24">
        <f t="shared" si="87"/>
        <v>0.45</v>
      </c>
      <c r="U87" s="24">
        <f t="shared" si="87"/>
        <v>0</v>
      </c>
      <c r="V87" s="24">
        <f t="shared" si="87"/>
        <v>0.133333333333333</v>
      </c>
      <c r="W87" s="24">
        <f t="shared" si="87"/>
        <v>0</v>
      </c>
      <c r="X87" s="24">
        <f t="shared" si="28"/>
        <v>1.54166666666667</v>
      </c>
      <c r="Y87" s="24">
        <f t="shared" si="29"/>
        <v>0.648648648648649</v>
      </c>
      <c r="Z87" s="24"/>
      <c r="AB87" s="27"/>
      <c r="AC87" s="27"/>
      <c r="AD87" s="27"/>
      <c r="AE87" s="27"/>
      <c r="AF87" s="27"/>
      <c r="AG87" s="27"/>
    </row>
    <row r="89" s="1" customFormat="1" spans="2:33">
      <c r="H89" s="3"/>
      <c r="I89" s="3"/>
      <c r="M89" s="3"/>
      <c r="Y89" s="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刘秋言</dc:creator>
  <cp:lastModifiedBy>zhuyu</cp:lastModifiedBy>
  <dcterms:created xsi:type="dcterms:W3CDTF">2026-05-24T10:24:00Z</dcterms:created>
  <dcterms:modified xsi:type="dcterms:W3CDTF">2026-05-26T09:49:18Z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F95935A7ACFC8ECF1BFC146AB6298573_43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