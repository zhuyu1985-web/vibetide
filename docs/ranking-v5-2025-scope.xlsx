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总览说明" sheetId="1" state="visible" r:id="rId1"/>
    <sheet xmlns:r="http://schemas.openxmlformats.org/officeDocument/2006/relationships" name="01 数据源清单" sheetId="2" state="visible" r:id="rId2"/>
    <sheet xmlns:r="http://schemas.openxmlformats.org/officeDocument/2006/relationships" name="02 数据范围审计" sheetId="3" state="visible" r:id="rId3"/>
    <sheet xmlns:r="http://schemas.openxmlformats.org/officeDocument/2006/relationships" name="1.1 中央-报道数量" sheetId="4" state="visible" r:id="rId4"/>
    <sheet xmlns:r="http://schemas.openxmlformats.org/officeDocument/2006/relationships" name="1.2 中央-主题丰富度" sheetId="5" state="visible" r:id="rId5"/>
    <sheet xmlns:r="http://schemas.openxmlformats.org/officeDocument/2006/relationships" name="1.3 中央-报道传播速度" sheetId="6" state="visible" r:id="rId6"/>
    <sheet xmlns:r="http://schemas.openxmlformats.org/officeDocument/2006/relationships" name="2.1 行业-报道数量" sheetId="7" state="visible" r:id="rId7"/>
    <sheet xmlns:r="http://schemas.openxmlformats.org/officeDocument/2006/relationships" name="2.2 行业-主题丰富度" sheetId="8" state="visible" r:id="rId8"/>
    <sheet xmlns:r="http://schemas.openxmlformats.org/officeDocument/2006/relationships" name="2.3 行业-报道传播速度" sheetId="9" state="visible" r:id="rId9"/>
    <sheet xmlns:r="http://schemas.openxmlformats.org/officeDocument/2006/relationships" name="3.1 市级-报道数量" sheetId="10" state="visible" r:id="rId10"/>
    <sheet xmlns:r="http://schemas.openxmlformats.org/officeDocument/2006/relationships" name="3.2 市级-主题丰富度" sheetId="11" state="visible" r:id="rId11"/>
    <sheet xmlns:r="http://schemas.openxmlformats.org/officeDocument/2006/relationships" name="3.3 市级-报道传播速度" sheetId="12" state="visible" r:id="rId12"/>
    <sheet xmlns:r="http://schemas.openxmlformats.org/officeDocument/2006/relationships" name="4.1 区县-报道数量" sheetId="13" state="visible" r:id="rId13"/>
    <sheet xmlns:r="http://schemas.openxmlformats.org/officeDocument/2006/relationships" name="4.2 区县-主题丰富度" sheetId="14" state="visible" r:id="rId14"/>
    <sheet xmlns:r="http://schemas.openxmlformats.org/officeDocument/2006/relationships" name="4.3 区县-报道传播速度" sheetId="15" state="visible" r:id="rId15"/>
    <sheet xmlns:r="http://schemas.openxmlformats.org/officeDocument/2006/relationships" name="5.1 公众-活动数量" sheetId="16" state="visible" r:id="rId16"/>
    <sheet xmlns:r="http://schemas.openxmlformats.org/officeDocument/2006/relationships" name="5.2 公众-活动主题丰富度" sheetId="17" state="visible" r:id="rId17"/>
    <sheet xmlns:r="http://schemas.openxmlformats.org/officeDocument/2006/relationships" name="5.3 公众-活动传播速度" sheetId="18" state="visible" r:id="rId18"/>
    <sheet xmlns:r="http://schemas.openxmlformats.org/officeDocument/2006/relationships" name="99 综合汇总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5E20"/>
      <sz val="12"/>
    </font>
    <font>
      <b val="1"/>
      <color rgb="00FFFFFF"/>
      <sz val="11"/>
    </font>
    <font>
      <b val="1"/>
      <color rgb="00333333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1F6FEB"/>
        <bgColor rgb="001F6FEB"/>
      </patternFill>
    </fill>
    <fill>
      <patternFill patternType="solid">
        <fgColor rgb="00FFF8E1"/>
        <bgColor rgb="00FFF8E1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44" customWidth="1" min="1" max="1"/>
    <col width="110" customWidth="1" min="2" max="2"/>
  </cols>
  <sheetData>
    <row r="1">
      <c r="A1" s="1" t="inlineStr">
        <is>
          <t>【一、数据范围口径】</t>
        </is>
      </c>
      <c r="B1" s="1" t="inlineStr"/>
    </row>
    <row r="2">
      <c r="A2" s="2" t="inlineStr">
        <is>
          <t>数据范围</t>
        </is>
      </c>
      <c r="B2" s="2" t="inlineStr">
        <is>
          <t>严格按 /Users/zhuyu/Downloads/副本媒体站点名单-2(1).xlsx 的 94 家媒体单位收敛</t>
        </is>
      </c>
    </row>
    <row r="3">
      <c r="A3" s="2" t="inlineStr">
        <is>
          <t>总媒体单位数</t>
        </is>
      </c>
      <c r="B3" s="2" t="inlineStr">
        <is>
          <t>94 家 (主体 12 + 区县融媒 41 + 区县政务 41)</t>
        </is>
      </c>
    </row>
    <row r="4">
      <c r="A4" s="2" t="inlineStr">
        <is>
          <t>数据窗口</t>
        </is>
      </c>
      <c r="B4" s="2" t="inlineStr">
        <is>
          <t>2025-01-01 ≤ published_at &lt; 2026-01-01</t>
        </is>
      </c>
    </row>
    <row r="5">
      <c r="A5" s="2" t="inlineStr">
        <is>
          <t>区县归并</t>
        </is>
      </c>
      <c r="B5" s="2" t="inlineStr">
        <is>
          <t>江北区 + 渝北区 → 两江新区(统一 39 区县口径)</t>
        </is>
      </c>
    </row>
    <row r="6">
      <c r="A6" s="2" t="inlineStr"/>
      <c r="B6" s="2" t="inlineStr"/>
    </row>
    <row r="7">
      <c r="A7" s="1" t="inlineStr">
        <is>
          <t>【二、本次范围内可用数据】(对比旧全字典范围)</t>
        </is>
      </c>
      <c r="B7" s="1" t="inlineStr"/>
    </row>
    <row r="8">
      <c r="A8" s="2" t="inlineStr">
        <is>
          <t>新范围 2025 items</t>
        </is>
      </c>
      <c r="B8" s="2" t="inlineStr">
        <is>
          <t>57,867</t>
        </is>
      </c>
    </row>
    <row r="9">
      <c r="A9" s="2" t="inlineStr">
        <is>
          <t>旧范围 2025 items</t>
        </is>
      </c>
      <c r="B9" s="2" t="inlineStr">
        <is>
          <t>58,387</t>
        </is>
      </c>
    </row>
    <row r="10">
      <c r="A10" s="2" t="inlineStr">
        <is>
          <t>保留率</t>
        </is>
      </c>
      <c r="B10" s="2" t="inlineStr">
        <is>
          <t>99.1%</t>
        </is>
      </c>
    </row>
    <row r="11">
      <c r="A11" s="2" t="inlineStr"/>
      <c r="B11" s="2" t="inlineStr"/>
    </row>
    <row r="12">
      <c r="A12" s="1" t="inlineStr">
        <is>
          <t>【三、需要说明的数据缺口】</t>
        </is>
      </c>
      <c r="B12" s="1" t="inlineStr"/>
    </row>
    <row r="13">
      <c r="A13" s="2" t="inlineStr">
        <is>
          <t>41 家区县政务号 items≈0</t>
        </is>
      </c>
      <c r="B13" s="2" t="inlineStr">
        <is>
          <t>字典中 government_self_media 的 public_account_names 全部为空,DB 中无对应稿件;本次政务部分计入 0(用户已知悉) — 区县媒体一级实际由 41 家融媒贡献</t>
        </is>
      </c>
    </row>
    <row r="14">
      <c r="A14" s="2" t="inlineStr"/>
      <c r="B14" s="2" t="inlineStr"/>
    </row>
    <row r="15">
      <c r="A15" s="1" t="inlineStr">
        <is>
          <t>【四、一级权重】(摘自指数体系 docx P34)</t>
        </is>
      </c>
      <c r="B15" s="1" t="inlineStr"/>
    </row>
    <row r="16">
      <c r="A16" s="2" t="inlineStr">
        <is>
          <t>中央媒体 (4 家)</t>
        </is>
      </c>
      <c r="B16" s="2" t="inlineStr">
        <is>
          <t>45%</t>
        </is>
      </c>
    </row>
    <row r="17">
      <c r="A17" s="2" t="inlineStr">
        <is>
          <t>行业媒体 (2 家)</t>
        </is>
      </c>
      <c r="B17" s="2" t="inlineStr">
        <is>
          <t>25%</t>
        </is>
      </c>
    </row>
    <row r="18">
      <c r="A18" s="2" t="inlineStr">
        <is>
          <t>市级媒体 (6 家)</t>
        </is>
      </c>
      <c r="B18" s="2" t="inlineStr">
        <is>
          <t>15%</t>
        </is>
      </c>
    </row>
    <row r="19">
      <c r="A19" s="2" t="inlineStr">
        <is>
          <t>区县媒体 (82 家:41 融媒 + 41 政务)</t>
        </is>
      </c>
      <c r="B19" s="2" t="inlineStr">
        <is>
          <t>8%</t>
        </is>
      </c>
    </row>
    <row r="20">
      <c r="A20" s="2" t="inlineStr">
        <is>
          <t>公众行为引导 (39 区县线下活动)</t>
        </is>
      </c>
      <c r="B20" s="2" t="inlineStr">
        <is>
          <t>7%</t>
        </is>
      </c>
    </row>
    <row r="21">
      <c r="A21" s="2" t="inlineStr"/>
      <c r="B21" s="2" t="inlineStr"/>
    </row>
    <row r="22">
      <c r="A22" s="1" t="inlineStr">
        <is>
          <t>【五、二级权重】</t>
        </is>
      </c>
      <c r="B22" s="1" t="inlineStr"/>
    </row>
    <row r="23">
      <c r="A23" s="2" t="inlineStr">
        <is>
          <t>报道/活动 数量</t>
        </is>
      </c>
      <c r="B23" s="2" t="inlineStr">
        <is>
          <t>40%</t>
        </is>
      </c>
    </row>
    <row r="24">
      <c r="A24" s="2" t="inlineStr">
        <is>
          <t>报道/活动 主题丰富度</t>
        </is>
      </c>
      <c r="B24" s="2" t="inlineStr">
        <is>
          <t>30%</t>
        </is>
      </c>
    </row>
    <row r="25">
      <c r="A25" s="2" t="inlineStr">
        <is>
          <t>报道/活动 传播速度</t>
        </is>
      </c>
      <c r="B25" s="2" t="inlineStr">
        <is>
          <t>30%</t>
        </is>
      </c>
    </row>
    <row r="26">
      <c r="A26" s="2" t="inlineStr"/>
      <c r="B26" s="2" t="inlineStr"/>
    </row>
    <row r="27">
      <c r="A27" s="1" t="inlineStr">
        <is>
          <t>【六、公式】</t>
        </is>
      </c>
      <c r="B27" s="1" t="inlineStr"/>
    </row>
    <row r="28">
      <c r="A28" s="2" t="inlineStr">
        <is>
          <t>主题丰富度 F</t>
        </is>
      </c>
      <c r="B28" s="2" t="inlineStr">
        <is>
          <t>F = 1/Σ|p_t − 1/N| ; N=16 (媒体) 或 5 (活动)</t>
        </is>
      </c>
    </row>
    <row r="29">
      <c r="A29" s="2" t="inlineStr">
        <is>
          <t>传播速度</t>
        </is>
      </c>
      <c r="B29" s="2" t="inlineStr">
        <is>
          <t>freq = 报道/活动 总数 / 发布天数</t>
        </is>
      </c>
    </row>
    <row r="30">
      <c r="A30" s="2" t="inlineStr">
        <is>
          <t>区间化</t>
        </is>
      </c>
      <c r="B30" s="2" t="inlineStr">
        <is>
          <t>min-max → [65, 95]</t>
        </is>
      </c>
    </row>
    <row r="31">
      <c r="A31" s="2" t="inlineStr">
        <is>
          <t>一级得分</t>
        </is>
      </c>
      <c r="B31" s="2" t="inlineStr">
        <is>
          <t>tier = 数量×0.40 + 丰富度×0.30 + 速度×0.30</t>
        </is>
      </c>
    </row>
    <row r="32">
      <c r="A32" s="2" t="inlineStr">
        <is>
          <t>综合得分</t>
        </is>
      </c>
      <c r="B32" s="2" t="inlineStr">
        <is>
          <t>综合 = 中央×0.45 + 行业×0.25 + 市级×0.15 + 区县×0.08 + 公众×0.07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6" customWidth="1" min="4" max="4"/>
    <col width="32" customWidth="1" min="5" max="5"/>
    <col width="18" customWidth="1" min="6" max="6"/>
    <col width="14" customWidth="1" min="7" max="7"/>
    <col width="32" customWidth="1" min="8" max="8"/>
  </cols>
  <sheetData>
    <row r="1">
      <c r="A1" s="2" t="inlineStr">
        <is>
          <t>#</t>
        </is>
      </c>
      <c r="B1" s="2" t="inlineStr">
        <is>
          <t>类别</t>
        </is>
      </c>
      <c r="C1" s="2" t="inlineStr">
        <is>
          <t>媒体名(用户口径)</t>
        </is>
      </c>
      <c r="D1" s="2" t="inlineStr">
        <is>
          <t>区县归并</t>
        </is>
      </c>
      <c r="E1" s="2" t="inlineStr">
        <is>
          <t>公众号名</t>
        </is>
      </c>
      <c r="F1" s="2" t="inlineStr">
        <is>
          <t>公众号 ghid</t>
        </is>
      </c>
      <c r="G1" s="2" t="inlineStr">
        <is>
          <t>微博 UID</t>
        </is>
      </c>
      <c r="H1" s="2" t="inlineStr">
        <is>
          <t>网站域名</t>
        </is>
      </c>
    </row>
    <row r="2">
      <c r="A2" s="1">
        <f>== 主体媒体 12 家(中央 4 + 市级 6 + 行业 2) ===</f>
        <v/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</row>
    <row r="3">
      <c r="A3" s="2" t="n">
        <v>1</v>
      </c>
      <c r="B3" s="2" t="inlineStr">
        <is>
          <t>central</t>
        </is>
      </c>
      <c r="C3" s="2" t="inlineStr">
        <is>
          <t>中央电视台</t>
        </is>
      </c>
      <c r="D3" s="2" t="inlineStr">
        <is>
          <t>—</t>
        </is>
      </c>
      <c r="E3" s="2" t="inlineStr">
        <is>
          <t>央视新闻、央视财经</t>
        </is>
      </c>
      <c r="F3" s="2" t="inlineStr">
        <is>
          <t>—</t>
        </is>
      </c>
      <c r="G3" s="2" t="inlineStr">
        <is>
          <t>2656274875</t>
        </is>
      </c>
      <c r="H3" s="2" t="inlineStr">
        <is>
          <t>cctv.com、cnr.cn、cri.cn</t>
        </is>
      </c>
    </row>
    <row r="4">
      <c r="A4" s="2" t="n">
        <v>2</v>
      </c>
      <c r="B4" s="2" t="inlineStr">
        <is>
          <t>central</t>
        </is>
      </c>
      <c r="C4" s="2" t="inlineStr">
        <is>
          <t>人民日报</t>
        </is>
      </c>
      <c r="D4" s="2" t="inlineStr">
        <is>
          <t>—</t>
        </is>
      </c>
      <c r="E4" s="2" t="inlineStr">
        <is>
          <t>人民日报、人民日报评论</t>
        </is>
      </c>
      <c r="F4" s="2" t="inlineStr">
        <is>
          <t>gh_f8245afd69b7</t>
        </is>
      </c>
      <c r="G4" s="2" t="inlineStr">
        <is>
          <t>2803301701</t>
        </is>
      </c>
      <c r="H4" s="2" t="inlineStr">
        <is>
          <t>paper.people.com.cn、people.com.cn、peopledaily.com.cn</t>
        </is>
      </c>
    </row>
    <row r="5">
      <c r="A5" s="2" t="n">
        <v>3</v>
      </c>
      <c r="B5" s="2" t="inlineStr">
        <is>
          <t>central</t>
        </is>
      </c>
      <c r="C5" s="2" t="inlineStr">
        <is>
          <t>新华社</t>
        </is>
      </c>
      <c r="D5" s="2" t="inlineStr">
        <is>
          <t>—</t>
        </is>
      </c>
      <c r="E5" s="2" t="inlineStr">
        <is>
          <t>新华社、新华视点</t>
        </is>
      </c>
      <c r="F5" s="2" t="inlineStr">
        <is>
          <t>gh_a30df8f8534c</t>
        </is>
      </c>
      <c r="G5" s="2" t="inlineStr">
        <is>
          <t>1699432410</t>
        </is>
      </c>
      <c r="H5" s="2" t="inlineStr">
        <is>
          <t>news.cn、xinhuanet.com</t>
        </is>
      </c>
    </row>
    <row r="6">
      <c r="A6" s="2" t="n">
        <v>4</v>
      </c>
      <c r="B6" s="2" t="inlineStr">
        <is>
          <t>central</t>
        </is>
      </c>
      <c r="C6" s="2" t="inlineStr">
        <is>
          <t>光明日报</t>
        </is>
      </c>
      <c r="D6" s="2" t="inlineStr">
        <is>
          <t>—</t>
        </is>
      </c>
      <c r="E6" s="2" t="inlineStr">
        <is>
          <t>光明日报</t>
        </is>
      </c>
      <c r="F6" s="2" t="inlineStr">
        <is>
          <t>gh_f8a2dde85dab</t>
        </is>
      </c>
      <c r="G6" s="2" t="inlineStr">
        <is>
          <t>1402977920</t>
        </is>
      </c>
      <c r="H6" s="2" t="inlineStr">
        <is>
          <t>gmw.cn、guangmingdaily.com.cn</t>
        </is>
      </c>
    </row>
    <row r="7">
      <c r="A7" s="2" t="n">
        <v>5</v>
      </c>
      <c r="B7" s="2" t="inlineStr">
        <is>
          <t>municipal</t>
        </is>
      </c>
      <c r="C7" s="2" t="inlineStr">
        <is>
          <t>上游新闻</t>
        </is>
      </c>
      <c r="D7" s="2" t="inlineStr">
        <is>
          <t>—</t>
        </is>
      </c>
      <c r="E7" s="2" t="inlineStr">
        <is>
          <t>上游新闻</t>
        </is>
      </c>
      <c r="F7" s="2" t="inlineStr">
        <is>
          <t>—</t>
        </is>
      </c>
      <c r="G7" s="2" t="inlineStr">
        <is>
          <t>1420157965</t>
        </is>
      </c>
      <c r="H7" s="2" t="inlineStr">
        <is>
          <t>cqcb.com</t>
        </is>
      </c>
    </row>
    <row r="8">
      <c r="A8" s="2" t="n">
        <v>6</v>
      </c>
      <c r="B8" s="2" t="inlineStr">
        <is>
          <t>municipal</t>
        </is>
      </c>
      <c r="C8" s="2" t="inlineStr">
        <is>
          <t>华龙网</t>
        </is>
      </c>
      <c r="D8" s="2" t="inlineStr">
        <is>
          <t>—</t>
        </is>
      </c>
      <c r="E8" s="2" t="inlineStr">
        <is>
          <t>华龙网</t>
        </is>
      </c>
      <c r="F8" s="2" t="inlineStr">
        <is>
          <t>gh_21753f04a7d8</t>
        </is>
      </c>
      <c r="G8" s="2" t="inlineStr">
        <is>
          <t>1668926483</t>
        </is>
      </c>
      <c r="H8" s="2" t="inlineStr">
        <is>
          <t>www.cqnews.net</t>
        </is>
      </c>
    </row>
    <row r="9">
      <c r="A9" s="2" t="n">
        <v>7</v>
      </c>
      <c r="B9" s="2" t="inlineStr">
        <is>
          <t>municipal</t>
        </is>
      </c>
      <c r="C9" s="2" t="inlineStr">
        <is>
          <t>视界网（重庆广电）</t>
        </is>
      </c>
      <c r="D9" s="2" t="inlineStr">
        <is>
          <t>—</t>
        </is>
      </c>
      <c r="E9" s="2" t="inlineStr">
        <is>
          <t>第1眼新闻</t>
        </is>
      </c>
      <c r="F9" s="2" t="inlineStr">
        <is>
          <t>gh_cf3d71d1fe82</t>
        </is>
      </c>
      <c r="G9" s="2" t="inlineStr">
        <is>
          <t>cqtv68629315</t>
        </is>
      </c>
      <c r="H9" s="2" t="inlineStr">
        <is>
          <t>1tv.com.cn</t>
        </is>
      </c>
    </row>
    <row r="10">
      <c r="A10" s="2" t="n">
        <v>8</v>
      </c>
      <c r="B10" s="2" t="inlineStr">
        <is>
          <t>municipal</t>
        </is>
      </c>
      <c r="C10" s="2" t="inlineStr">
        <is>
          <t>重庆日报</t>
        </is>
      </c>
      <c r="D10" s="2" t="inlineStr">
        <is>
          <t>—</t>
        </is>
      </c>
      <c r="E10" s="2" t="inlineStr">
        <is>
          <t>重庆日报</t>
        </is>
      </c>
      <c r="F10" s="2" t="inlineStr">
        <is>
          <t>gh_27de3a2c6bc4</t>
        </is>
      </c>
      <c r="G10" s="2" t="inlineStr">
        <is>
          <t>2271051770</t>
        </is>
      </c>
      <c r="H10" s="2" t="inlineStr">
        <is>
          <t>cqdsw.cn、cqrb.cn</t>
        </is>
      </c>
    </row>
    <row r="11">
      <c r="A11" s="2" t="n">
        <v>9</v>
      </c>
      <c r="B11" s="2" t="inlineStr">
        <is>
          <t>municipal</t>
        </is>
      </c>
      <c r="C11" s="2" t="inlineStr">
        <is>
          <t>ichongqing（西部国传）</t>
        </is>
      </c>
      <c r="D11" s="2" t="inlineStr">
        <is>
          <t>—</t>
        </is>
      </c>
      <c r="E11" s="2" t="inlineStr">
        <is>
          <t>感知重庆、今日重庆</t>
        </is>
      </c>
      <c r="F11" s="2" t="inlineStr">
        <is>
          <t>—</t>
        </is>
      </c>
      <c r="G11" s="2" t="inlineStr">
        <is>
          <t>6665773039</t>
        </is>
      </c>
      <c r="H11" s="2" t="inlineStr">
        <is>
          <t>www.todaycq.com</t>
        </is>
      </c>
    </row>
    <row r="12">
      <c r="A12" s="2" t="n">
        <v>10</v>
      </c>
      <c r="B12" s="2" t="inlineStr">
        <is>
          <t>municipal</t>
        </is>
      </c>
      <c r="C12" s="2" t="inlineStr">
        <is>
          <t>七一网（当代党员杂志）</t>
        </is>
      </c>
      <c r="D12" s="2" t="inlineStr">
        <is>
          <t>—</t>
        </is>
      </c>
      <c r="E12" s="2" t="inlineStr">
        <is>
          <t>当代党员</t>
        </is>
      </c>
      <c r="F12" s="2" t="inlineStr">
        <is>
          <t>—</t>
        </is>
      </c>
      <c r="G12" s="2" t="inlineStr">
        <is>
          <t>—</t>
        </is>
      </c>
      <c r="H12" s="2" t="inlineStr">
        <is>
          <t>www.dddy.cn</t>
        </is>
      </c>
    </row>
    <row r="13">
      <c r="A13" s="2" t="n">
        <v>11</v>
      </c>
      <c r="B13" s="2" t="inlineStr">
        <is>
          <t>industry</t>
        </is>
      </c>
      <c r="C13" s="2" t="inlineStr">
        <is>
          <t>中国环境网（中环报）</t>
        </is>
      </c>
      <c r="D13" s="2" t="inlineStr">
        <is>
          <t>—</t>
        </is>
      </c>
      <c r="E13" s="2" t="inlineStr">
        <is>
          <t>中国环境、中国环境报</t>
        </is>
      </c>
      <c r="F13" s="2" t="inlineStr">
        <is>
          <t>gh_52274a65081a</t>
        </is>
      </c>
      <c r="G13" s="2" t="inlineStr">
        <is>
          <t>5608027665</t>
        </is>
      </c>
      <c r="H13" s="2" t="inlineStr">
        <is>
          <t>cenews.com.cn</t>
        </is>
      </c>
    </row>
    <row r="14">
      <c r="A14" s="2" t="n">
        <v>12</v>
      </c>
      <c r="B14" s="2" t="inlineStr">
        <is>
          <t>industry</t>
        </is>
      </c>
      <c r="C14" s="2" t="inlineStr">
        <is>
          <t>美丽重庆</t>
        </is>
      </c>
      <c r="D14" s="2" t="inlineStr">
        <is>
          <t>—</t>
        </is>
      </c>
      <c r="E14" s="2" t="inlineStr">
        <is>
          <t>美丽重庆</t>
        </is>
      </c>
      <c r="F14" s="2" t="inlineStr">
        <is>
          <t>gh_cafb7c1c8742</t>
        </is>
      </c>
      <c r="G14" s="2" t="inlineStr">
        <is>
          <t>2144075181</t>
        </is>
      </c>
      <c r="H14" s="2" t="inlineStr">
        <is>
          <t>—</t>
        </is>
      </c>
    </row>
    <row r="15">
      <c r="A15" s="1">
        <f>== 区县融媒体 41 家(江北/渝北→两江新区) ===</f>
        <v/>
      </c>
      <c r="B15" s="1" t="inlineStr"/>
      <c r="C15" s="1" t="inlineStr"/>
      <c r="D15" s="1" t="inlineStr"/>
      <c r="E15" s="1" t="inlineStr"/>
      <c r="F15" s="1" t="inlineStr"/>
      <c r="G15" s="1" t="inlineStr"/>
      <c r="H15" s="1" t="inlineStr"/>
    </row>
    <row r="16">
      <c r="A16" s="2" t="n">
        <v>13</v>
      </c>
      <c r="B16" s="2" t="inlineStr">
        <is>
          <t>区县融媒</t>
        </is>
      </c>
      <c r="C16" s="2" t="inlineStr">
        <is>
          <t>万州发布</t>
        </is>
      </c>
      <c r="D16" s="2" t="inlineStr">
        <is>
          <t>万州区</t>
        </is>
      </c>
      <c r="E16" s="2" t="inlineStr">
        <is>
          <t>万州发布、平湖万州</t>
        </is>
      </c>
      <c r="F16" s="2" t="inlineStr">
        <is>
          <t>gh_3951b5c03a17</t>
        </is>
      </c>
      <c r="G16" s="2" t="inlineStr">
        <is>
          <t>2972474694</t>
        </is>
      </c>
      <c r="H16" s="2" t="inlineStr">
        <is>
          <t>—</t>
        </is>
      </c>
    </row>
    <row r="17">
      <c r="A17" s="2" t="n">
        <v>14</v>
      </c>
      <c r="B17" s="2" t="inlineStr">
        <is>
          <t>区县融媒</t>
        </is>
      </c>
      <c r="C17" s="2" t="inlineStr">
        <is>
          <t>万盛发布</t>
        </is>
      </c>
      <c r="D17" s="2" t="inlineStr">
        <is>
          <t>万盛经开区</t>
        </is>
      </c>
      <c r="E17" s="2" t="inlineStr">
        <is>
          <t>万盛发布</t>
        </is>
      </c>
      <c r="F17" s="2" t="inlineStr">
        <is>
          <t>gh_27c8a36e2fd9</t>
        </is>
      </c>
      <c r="G17" s="2" t="inlineStr">
        <is>
          <t>3215092067</t>
        </is>
      </c>
      <c r="H17" s="2" t="inlineStr">
        <is>
          <t>—</t>
        </is>
      </c>
    </row>
    <row r="18">
      <c r="A18" s="2" t="n">
        <v>15</v>
      </c>
      <c r="B18" s="2" t="inlineStr">
        <is>
          <t>区县融媒</t>
        </is>
      </c>
      <c r="C18" s="2" t="inlineStr">
        <is>
          <t>丰都发布</t>
        </is>
      </c>
      <c r="D18" s="2" t="inlineStr">
        <is>
          <t>丰都县</t>
        </is>
      </c>
      <c r="E18" s="2" t="inlineStr">
        <is>
          <t>丰都发布</t>
        </is>
      </c>
      <c r="F18" s="2" t="inlineStr">
        <is>
          <t>gh_7181a02a242d</t>
        </is>
      </c>
      <c r="G18" s="2" t="inlineStr">
        <is>
          <t>2611055037</t>
        </is>
      </c>
      <c r="H18" s="2" t="inlineStr">
        <is>
          <t>—</t>
        </is>
      </c>
    </row>
    <row r="19">
      <c r="A19" s="2" t="n">
        <v>16</v>
      </c>
      <c r="B19" s="2" t="inlineStr">
        <is>
          <t>区县融媒</t>
        </is>
      </c>
      <c r="C19" s="2" t="inlineStr">
        <is>
          <t>九龙坡发布</t>
        </is>
      </c>
      <c r="D19" s="2" t="inlineStr">
        <is>
          <t>九龙坡区</t>
        </is>
      </c>
      <c r="E19" s="2" t="inlineStr">
        <is>
          <t>九龙坡发布</t>
        </is>
      </c>
      <c r="F19" s="2" t="inlineStr">
        <is>
          <t>gh_6b494003c4a0</t>
        </is>
      </c>
      <c r="G19" s="2" t="inlineStr">
        <is>
          <t>6977370818</t>
        </is>
      </c>
      <c r="H19" s="2" t="inlineStr">
        <is>
          <t>—</t>
        </is>
      </c>
    </row>
    <row r="20">
      <c r="A20" s="2" t="n">
        <v>17</v>
      </c>
      <c r="B20" s="2" t="inlineStr">
        <is>
          <t>区县融媒</t>
        </is>
      </c>
      <c r="C20" s="2" t="inlineStr">
        <is>
          <t>云阳融媒</t>
        </is>
      </c>
      <c r="D20" s="2" t="inlineStr">
        <is>
          <t>云阳县</t>
        </is>
      </c>
      <c r="E20" s="2" t="inlineStr">
        <is>
          <t>云阳报、云阳融媒</t>
        </is>
      </c>
      <c r="F20" s="2" t="inlineStr">
        <is>
          <t>gh_0bdaee384c58</t>
        </is>
      </c>
      <c r="G20" s="2" t="inlineStr">
        <is>
          <t>2404269462</t>
        </is>
      </c>
      <c r="H20" s="2" t="inlineStr">
        <is>
          <t>—</t>
        </is>
      </c>
    </row>
    <row r="21">
      <c r="A21" s="2" t="n">
        <v>18</v>
      </c>
      <c r="B21" s="2" t="inlineStr">
        <is>
          <t>区县融媒</t>
        </is>
      </c>
      <c r="C21" s="2" t="inlineStr">
        <is>
          <t>北碚发布</t>
        </is>
      </c>
      <c r="D21" s="2" t="inlineStr">
        <is>
          <t>北碚区</t>
        </is>
      </c>
      <c r="E21" s="2" t="inlineStr">
        <is>
          <t>北碚发布、北碚融媒</t>
        </is>
      </c>
      <c r="F21" s="2" t="inlineStr">
        <is>
          <t>gh_928fa6efb3bb</t>
        </is>
      </c>
      <c r="G21" s="2" t="inlineStr">
        <is>
          <t>2739096774</t>
        </is>
      </c>
      <c r="H21" s="2" t="inlineStr">
        <is>
          <t>—</t>
        </is>
      </c>
    </row>
    <row r="22">
      <c r="A22" s="2" t="n">
        <v>19</v>
      </c>
      <c r="B22" s="2" t="inlineStr">
        <is>
          <t>区县融媒</t>
        </is>
      </c>
      <c r="C22" s="2" t="inlineStr">
        <is>
          <t>南岸时报</t>
        </is>
      </c>
      <c r="D22" s="2" t="inlineStr">
        <is>
          <t>南岸区</t>
        </is>
      </c>
      <c r="E22" s="2" t="inlineStr">
        <is>
          <t>南岸发布、南岸时报</t>
        </is>
      </c>
      <c r="F22" s="2" t="inlineStr">
        <is>
          <t>—</t>
        </is>
      </c>
      <c r="G22" s="2" t="inlineStr">
        <is>
          <t>2519274242</t>
        </is>
      </c>
      <c r="H22" s="2" t="inlineStr">
        <is>
          <t>—</t>
        </is>
      </c>
    </row>
    <row r="23">
      <c r="A23" s="2" t="n">
        <v>20</v>
      </c>
      <c r="B23" s="2" t="inlineStr">
        <is>
          <t>区县融媒</t>
        </is>
      </c>
      <c r="C23" s="2" t="inlineStr">
        <is>
          <t>南川报</t>
        </is>
      </c>
      <c r="D23" s="2" t="inlineStr">
        <is>
          <t>南川区</t>
        </is>
      </c>
      <c r="E23" s="2" t="inlineStr">
        <is>
          <t>南川发布、南川报</t>
        </is>
      </c>
      <c r="F23" s="2" t="inlineStr">
        <is>
          <t>gh_5a5273ce55a7</t>
        </is>
      </c>
      <c r="G23" s="2" t="inlineStr">
        <is>
          <t>2485852761</t>
        </is>
      </c>
      <c r="H23" s="2" t="inlineStr">
        <is>
          <t>—</t>
        </is>
      </c>
    </row>
    <row r="24">
      <c r="A24" s="2" t="n">
        <v>21</v>
      </c>
      <c r="B24" s="2" t="inlineStr">
        <is>
          <t>区县融媒</t>
        </is>
      </c>
      <c r="C24" s="2" t="inlineStr">
        <is>
          <t>合川发布</t>
        </is>
      </c>
      <c r="D24" s="2" t="inlineStr">
        <is>
          <t>合川区</t>
        </is>
      </c>
      <c r="E24" s="2" t="inlineStr">
        <is>
          <t>合川发布</t>
        </is>
      </c>
      <c r="F24" s="2" t="inlineStr">
        <is>
          <t>gh_c7cf9269b93f</t>
        </is>
      </c>
      <c r="G24" s="2" t="inlineStr">
        <is>
          <t>2104912934</t>
        </is>
      </c>
      <c r="H24" s="2" t="inlineStr">
        <is>
          <t>—</t>
        </is>
      </c>
    </row>
    <row r="25">
      <c r="A25" s="2" t="n">
        <v>22</v>
      </c>
      <c r="B25" s="2" t="inlineStr">
        <is>
          <t>区县融媒</t>
        </is>
      </c>
      <c r="C25" s="2" t="inlineStr">
        <is>
          <t>垫江发布</t>
        </is>
      </c>
      <c r="D25" s="2" t="inlineStr">
        <is>
          <t>垫江县</t>
        </is>
      </c>
      <c r="E25" s="2" t="inlineStr">
        <is>
          <t>垫江发布</t>
        </is>
      </c>
      <c r="F25" s="2" t="inlineStr">
        <is>
          <t>gh_b0b82d34afb9</t>
        </is>
      </c>
      <c r="G25" s="2" t="inlineStr">
        <is>
          <t>2692536274</t>
        </is>
      </c>
      <c r="H25" s="2" t="inlineStr">
        <is>
          <t>—</t>
        </is>
      </c>
    </row>
    <row r="26">
      <c r="A26" s="2" t="n">
        <v>23</v>
      </c>
      <c r="B26" s="2" t="inlineStr">
        <is>
          <t>区县融媒</t>
        </is>
      </c>
      <c r="C26" s="2" t="inlineStr">
        <is>
          <t>城口发布</t>
        </is>
      </c>
      <c r="D26" s="2" t="inlineStr">
        <is>
          <t>城口县</t>
        </is>
      </c>
      <c r="E26" s="2" t="inlineStr">
        <is>
          <t>城口发布</t>
        </is>
      </c>
      <c r="F26" s="2" t="inlineStr">
        <is>
          <t>gh_b2489d33c15c</t>
        </is>
      </c>
      <c r="G26" s="2" t="inlineStr">
        <is>
          <t>2089486633</t>
        </is>
      </c>
      <c r="H26" s="2" t="inlineStr">
        <is>
          <t>—</t>
        </is>
      </c>
    </row>
    <row r="27">
      <c r="A27" s="2" t="n">
        <v>24</v>
      </c>
      <c r="B27" s="2" t="inlineStr">
        <is>
          <t>区县融媒</t>
        </is>
      </c>
      <c r="C27" s="2" t="inlineStr">
        <is>
          <t>大渡口发布</t>
        </is>
      </c>
      <c r="D27" s="2" t="inlineStr">
        <is>
          <t>大渡口区</t>
        </is>
      </c>
      <c r="E27" s="2" t="inlineStr">
        <is>
          <t>大渡口发布</t>
        </is>
      </c>
      <c r="F27" s="2" t="inlineStr">
        <is>
          <t>gh_d8cc27844013</t>
        </is>
      </c>
      <c r="G27" s="2" t="inlineStr">
        <is>
          <t>2918835814</t>
        </is>
      </c>
      <c r="H27" s="2" t="inlineStr">
        <is>
          <t>—</t>
        </is>
      </c>
    </row>
    <row r="28">
      <c r="A28" s="2" t="n">
        <v>25</v>
      </c>
      <c r="B28" s="2" t="inlineStr">
        <is>
          <t>区县融媒</t>
        </is>
      </c>
      <c r="C28" s="2" t="inlineStr">
        <is>
          <t>大足发布</t>
        </is>
      </c>
      <c r="D28" s="2" t="inlineStr">
        <is>
          <t>大足区</t>
        </is>
      </c>
      <c r="E28" s="2" t="inlineStr">
        <is>
          <t>大足发布</t>
        </is>
      </c>
      <c r="F28" s="2" t="inlineStr">
        <is>
          <t>gh_3d1b94e2b313</t>
        </is>
      </c>
      <c r="G28" s="2" t="inlineStr">
        <is>
          <t>2652493731</t>
        </is>
      </c>
      <c r="H28" s="2" t="inlineStr">
        <is>
          <t>—</t>
        </is>
      </c>
    </row>
    <row r="29">
      <c r="A29" s="2" t="n">
        <v>26</v>
      </c>
      <c r="B29" s="2" t="inlineStr">
        <is>
          <t>区县融媒</t>
        </is>
      </c>
      <c r="C29" s="2" t="inlineStr">
        <is>
          <t>奉节发布</t>
        </is>
      </c>
      <c r="D29" s="2" t="inlineStr">
        <is>
          <t>奉节县</t>
        </is>
      </c>
      <c r="E29" s="2" t="inlineStr">
        <is>
          <t>奉节发布</t>
        </is>
      </c>
      <c r="F29" s="2" t="inlineStr">
        <is>
          <t>gh_d125d58b6797</t>
        </is>
      </c>
      <c r="G29" s="2" t="inlineStr">
        <is>
          <t>2486044781</t>
        </is>
      </c>
      <c r="H29" s="2" t="inlineStr">
        <is>
          <t>—</t>
        </is>
      </c>
    </row>
    <row r="30">
      <c r="A30" s="2" t="n">
        <v>27</v>
      </c>
      <c r="B30" s="2" t="inlineStr">
        <is>
          <t>区县融媒</t>
        </is>
      </c>
      <c r="C30" s="2" t="inlineStr">
        <is>
          <t>巫山发布</t>
        </is>
      </c>
      <c r="D30" s="2" t="inlineStr">
        <is>
          <t>巫山县</t>
        </is>
      </c>
      <c r="E30" s="2" t="inlineStr">
        <is>
          <t>巫山发布、神女天下</t>
        </is>
      </c>
      <c r="F30" s="2" t="inlineStr">
        <is>
          <t>gh_07a3543af6c0</t>
        </is>
      </c>
      <c r="G30" s="2" t="inlineStr">
        <is>
          <t>7720396709</t>
        </is>
      </c>
      <c r="H30" s="2" t="inlineStr">
        <is>
          <t>—</t>
        </is>
      </c>
    </row>
    <row r="31">
      <c r="A31" s="2" t="n">
        <v>28</v>
      </c>
      <c r="B31" s="2" t="inlineStr">
        <is>
          <t>区县融媒</t>
        </is>
      </c>
      <c r="C31" s="2" t="inlineStr">
        <is>
          <t>巴南发布</t>
        </is>
      </c>
      <c r="D31" s="2" t="inlineStr">
        <is>
          <t>巴南区</t>
        </is>
      </c>
      <c r="E31" s="2" t="inlineStr">
        <is>
          <t>巴南发布</t>
        </is>
      </c>
      <c r="F31" s="2" t="inlineStr">
        <is>
          <t>gh_bb2399839b7b</t>
        </is>
      </c>
      <c r="G31" s="2" t="inlineStr">
        <is>
          <t>2565024591</t>
        </is>
      </c>
      <c r="H31" s="2" t="inlineStr">
        <is>
          <t>—</t>
        </is>
      </c>
    </row>
    <row r="32">
      <c r="A32" s="2" t="n">
        <v>29</v>
      </c>
      <c r="B32" s="2" t="inlineStr">
        <is>
          <t>区县融媒</t>
        </is>
      </c>
      <c r="C32" s="2" t="inlineStr">
        <is>
          <t>开州融媒</t>
        </is>
      </c>
      <c r="D32" s="2" t="inlineStr">
        <is>
          <t>开州区</t>
        </is>
      </c>
      <c r="E32" s="2" t="inlineStr">
        <is>
          <t>开州日报、开州融媒、帅开州</t>
        </is>
      </c>
      <c r="F32" s="2" t="inlineStr">
        <is>
          <t>gh_5449195fbf98</t>
        </is>
      </c>
      <c r="G32" s="2" t="inlineStr">
        <is>
          <t>2568820534</t>
        </is>
      </c>
      <c r="H32" s="2" t="inlineStr">
        <is>
          <t>—</t>
        </is>
      </c>
    </row>
    <row r="33">
      <c r="A33" s="2" t="n">
        <v>30</v>
      </c>
      <c r="B33" s="2" t="inlineStr">
        <is>
          <t>区县融媒</t>
        </is>
      </c>
      <c r="C33" s="2" t="inlineStr">
        <is>
          <t>彭水报</t>
        </is>
      </c>
      <c r="D33" s="2" t="inlineStr">
        <is>
          <t>彭水县</t>
        </is>
      </c>
      <c r="E33" s="2" t="inlineStr">
        <is>
          <t>彭水发布、彭水报</t>
        </is>
      </c>
      <c r="F33" s="2" t="inlineStr">
        <is>
          <t>gh_c614db2e19f2</t>
        </is>
      </c>
      <c r="G33" s="2" t="inlineStr">
        <is>
          <t>2674566213</t>
        </is>
      </c>
      <c r="H33" s="2" t="inlineStr">
        <is>
          <t>—</t>
        </is>
      </c>
    </row>
    <row r="34">
      <c r="A34" s="2" t="n">
        <v>31</v>
      </c>
      <c r="B34" s="2" t="inlineStr">
        <is>
          <t>区县融媒</t>
        </is>
      </c>
      <c r="C34" s="2" t="inlineStr">
        <is>
          <t>忠州新闻</t>
        </is>
      </c>
      <c r="D34" s="2" t="inlineStr">
        <is>
          <t>忠县</t>
        </is>
      </c>
      <c r="E34" s="2" t="inlineStr">
        <is>
          <t>忠县发布、忠州新闻</t>
        </is>
      </c>
      <c r="F34" s="2" t="inlineStr">
        <is>
          <t>gh_6c5f7035530f</t>
        </is>
      </c>
      <c r="G34" s="2" t="inlineStr">
        <is>
          <t>2236136725</t>
        </is>
      </c>
      <c r="H34" s="2" t="inlineStr">
        <is>
          <t>—</t>
        </is>
      </c>
    </row>
    <row r="35">
      <c r="A35" s="2" t="n">
        <v>32</v>
      </c>
      <c r="B35" s="2" t="inlineStr">
        <is>
          <t>区县融媒</t>
        </is>
      </c>
      <c r="C35" s="2" t="inlineStr">
        <is>
          <t>梁平融媒</t>
        </is>
      </c>
      <c r="D35" s="2" t="inlineStr">
        <is>
          <t>梁平区</t>
        </is>
      </c>
      <c r="E35" s="2" t="inlineStr">
        <is>
          <t>梁平发布、梁平融媒</t>
        </is>
      </c>
      <c r="F35" s="2" t="inlineStr">
        <is>
          <t>gh_25fd7b161cab</t>
        </is>
      </c>
      <c r="G35" s="2" t="inlineStr">
        <is>
          <t>2654629783</t>
        </is>
      </c>
      <c r="H35" s="2" t="inlineStr">
        <is>
          <t>—</t>
        </is>
      </c>
    </row>
    <row r="36">
      <c r="A36" s="2" t="n">
        <v>33</v>
      </c>
      <c r="B36" s="2" t="inlineStr">
        <is>
          <t>区县融媒</t>
        </is>
      </c>
      <c r="C36" s="2" t="inlineStr">
        <is>
          <t>武隆发布</t>
        </is>
      </c>
      <c r="D36" s="2" t="inlineStr">
        <is>
          <t>武隆区</t>
        </is>
      </c>
      <c r="E36" s="2" t="inlineStr">
        <is>
          <t>仙女武隆、武隆发布</t>
        </is>
      </c>
      <c r="F36" s="2" t="inlineStr">
        <is>
          <t>gh_c19f74aa5cbd</t>
        </is>
      </c>
      <c r="G36" s="2" t="inlineStr">
        <is>
          <t>2074479765</t>
        </is>
      </c>
      <c r="H36" s="2" t="inlineStr">
        <is>
          <t>—</t>
        </is>
      </c>
    </row>
    <row r="37">
      <c r="A37" s="2" t="n">
        <v>34</v>
      </c>
      <c r="B37" s="2" t="inlineStr">
        <is>
          <t>区县融媒</t>
        </is>
      </c>
      <c r="C37" s="2" t="inlineStr">
        <is>
          <t>永川发布</t>
        </is>
      </c>
      <c r="D37" s="2" t="inlineStr">
        <is>
          <t>永川区</t>
        </is>
      </c>
      <c r="E37" s="2" t="inlineStr">
        <is>
          <t>永川发布</t>
        </is>
      </c>
      <c r="F37" s="2" t="inlineStr">
        <is>
          <t>gh_6236572af674</t>
        </is>
      </c>
      <c r="G37" s="2" t="inlineStr">
        <is>
          <t>1906537253</t>
        </is>
      </c>
      <c r="H37" s="2" t="inlineStr">
        <is>
          <t>—</t>
        </is>
      </c>
    </row>
    <row r="38">
      <c r="A38" s="2" t="n">
        <v>35</v>
      </c>
      <c r="B38" s="2" t="inlineStr">
        <is>
          <t>区县融媒</t>
        </is>
      </c>
      <c r="C38" s="2" t="inlineStr">
        <is>
          <t>江北发布</t>
        </is>
      </c>
      <c r="D38" s="2" t="inlineStr">
        <is>
          <t>两江新区</t>
        </is>
      </c>
      <c r="E38" s="2" t="inlineStr">
        <is>
          <t>时尚江北、江北发布</t>
        </is>
      </c>
      <c r="F38" s="2" t="inlineStr">
        <is>
          <t>gh_c00de33519bc</t>
        </is>
      </c>
      <c r="G38" s="2" t="inlineStr">
        <is>
          <t>2485664827</t>
        </is>
      </c>
      <c r="H38" s="2" t="inlineStr">
        <is>
          <t>—</t>
        </is>
      </c>
    </row>
    <row r="39">
      <c r="A39" s="2" t="n">
        <v>36</v>
      </c>
      <c r="B39" s="2" t="inlineStr">
        <is>
          <t>区县融媒</t>
        </is>
      </c>
      <c r="C39" s="2" t="inlineStr">
        <is>
          <t>江津融媒</t>
        </is>
      </c>
      <c r="D39" s="2" t="inlineStr">
        <is>
          <t>江津区</t>
        </is>
      </c>
      <c r="E39" s="2" t="inlineStr">
        <is>
          <t>几江发布、江津融媒</t>
        </is>
      </c>
      <c r="F39" s="2" t="inlineStr">
        <is>
          <t>gh_a91ff54dc579</t>
        </is>
      </c>
      <c r="G39" s="2" t="inlineStr">
        <is>
          <t>2639588250</t>
        </is>
      </c>
      <c r="H39" s="2" t="inlineStr">
        <is>
          <t>—</t>
        </is>
      </c>
    </row>
    <row r="40">
      <c r="A40" s="2" t="n">
        <v>37</v>
      </c>
      <c r="B40" s="2" t="inlineStr">
        <is>
          <t>区县融媒</t>
        </is>
      </c>
      <c r="C40" s="2" t="inlineStr">
        <is>
          <t>沙坪坝发布</t>
        </is>
      </c>
      <c r="D40" s="2" t="inlineStr">
        <is>
          <t>沙坪坝区</t>
        </is>
      </c>
      <c r="E40" s="2" t="inlineStr">
        <is>
          <t>沙坪坝发布、沙磁汇</t>
        </is>
      </c>
      <c r="F40" s="2" t="inlineStr">
        <is>
          <t>gh_8eecbf16fc22</t>
        </is>
      </c>
      <c r="G40" s="2" t="inlineStr">
        <is>
          <t>2089595201</t>
        </is>
      </c>
      <c r="H40" s="2" t="inlineStr">
        <is>
          <t>—</t>
        </is>
      </c>
    </row>
    <row r="41">
      <c r="A41" s="2" t="n">
        <v>38</v>
      </c>
      <c r="B41" s="2" t="inlineStr">
        <is>
          <t>区县融媒</t>
        </is>
      </c>
      <c r="C41" s="2" t="inlineStr">
        <is>
          <t>涪陵发布</t>
        </is>
      </c>
      <c r="D41" s="2" t="inlineStr">
        <is>
          <t>涪陵区</t>
        </is>
      </c>
      <c r="E41" s="2" t="inlineStr">
        <is>
          <t>涪陵发布</t>
        </is>
      </c>
      <c r="F41" s="2" t="inlineStr">
        <is>
          <t>gh_0ae871793f79</t>
        </is>
      </c>
      <c r="G41" s="2" t="inlineStr">
        <is>
          <t>2654202711</t>
        </is>
      </c>
      <c r="H41" s="2" t="inlineStr">
        <is>
          <t>—</t>
        </is>
      </c>
    </row>
    <row r="42">
      <c r="A42" s="2" t="n">
        <v>39</v>
      </c>
      <c r="B42" s="2" t="inlineStr">
        <is>
          <t>区县融媒</t>
        </is>
      </c>
      <c r="C42" s="2" t="inlineStr">
        <is>
          <t>渝中报</t>
        </is>
      </c>
      <c r="D42" s="2" t="inlineStr">
        <is>
          <t>渝中区</t>
        </is>
      </c>
      <c r="E42" s="2" t="inlineStr">
        <is>
          <t>渝中发布、渝中报</t>
        </is>
      </c>
      <c r="F42" s="2" t="inlineStr">
        <is>
          <t>gh_f88b45dcb9e6</t>
        </is>
      </c>
      <c r="G42" s="2" t="inlineStr">
        <is>
          <t>2768491503</t>
        </is>
      </c>
      <c r="H42" s="2" t="inlineStr">
        <is>
          <t>—</t>
        </is>
      </c>
    </row>
    <row r="43">
      <c r="A43" s="2" t="n">
        <v>40</v>
      </c>
      <c r="B43" s="2" t="inlineStr">
        <is>
          <t>区县融媒</t>
        </is>
      </c>
      <c r="C43" s="2" t="inlineStr">
        <is>
          <t>渝北发布</t>
        </is>
      </c>
      <c r="D43" s="2" t="inlineStr">
        <is>
          <t>两江新区</t>
        </is>
      </c>
      <c r="E43" s="2" t="inlineStr">
        <is>
          <t>渝北发布、渝北融媒</t>
        </is>
      </c>
      <c r="F43" s="2" t="inlineStr">
        <is>
          <t>gh_3fa01bf3fc67</t>
        </is>
      </c>
      <c r="G43" s="2" t="inlineStr">
        <is>
          <t>2973840412</t>
        </is>
      </c>
      <c r="H43" s="2" t="inlineStr">
        <is>
          <t>—</t>
        </is>
      </c>
    </row>
    <row r="44">
      <c r="A44" s="2" t="n">
        <v>41</v>
      </c>
      <c r="B44" s="2" t="inlineStr">
        <is>
          <t>区县融媒</t>
        </is>
      </c>
      <c r="C44" s="2" t="inlineStr">
        <is>
          <t>潼南发布</t>
        </is>
      </c>
      <c r="D44" s="2" t="inlineStr">
        <is>
          <t>潼南区</t>
        </is>
      </c>
      <c r="E44" s="2" t="inlineStr">
        <is>
          <t>潼南发布</t>
        </is>
      </c>
      <c r="F44" s="2" t="inlineStr">
        <is>
          <t>gh_212328999101</t>
        </is>
      </c>
      <c r="G44" s="2" t="inlineStr">
        <is>
          <t>2910537672</t>
        </is>
      </c>
      <c r="H44" s="2" t="inlineStr">
        <is>
          <t>—</t>
        </is>
      </c>
    </row>
    <row r="45">
      <c r="A45" s="2" t="n">
        <v>42</v>
      </c>
      <c r="B45" s="2" t="inlineStr">
        <is>
          <t>区县融媒</t>
        </is>
      </c>
      <c r="C45" s="2" t="inlineStr">
        <is>
          <t>璧山报</t>
        </is>
      </c>
      <c r="D45" s="2" t="inlineStr">
        <is>
          <t>璧山区</t>
        </is>
      </c>
      <c r="E45" s="2" t="inlineStr">
        <is>
          <t>璧山发布、璧山报</t>
        </is>
      </c>
      <c r="F45" s="2" t="inlineStr">
        <is>
          <t>gh_0b1fdcabf580</t>
        </is>
      </c>
      <c r="G45" s="2" t="inlineStr">
        <is>
          <t>2647318371</t>
        </is>
      </c>
      <c r="H45" s="2" t="inlineStr">
        <is>
          <t>—</t>
        </is>
      </c>
    </row>
    <row r="46">
      <c r="A46" s="2" t="n">
        <v>43</v>
      </c>
      <c r="B46" s="2" t="inlineStr">
        <is>
          <t>区县融媒</t>
        </is>
      </c>
      <c r="C46" s="2" t="inlineStr">
        <is>
          <t>石柱发布</t>
        </is>
      </c>
      <c r="D46" s="2" t="inlineStr">
        <is>
          <t>石柱县</t>
        </is>
      </c>
      <c r="E46" s="2" t="inlineStr">
        <is>
          <t>石柱发布</t>
        </is>
      </c>
      <c r="F46" s="2" t="inlineStr">
        <is>
          <t>gh_ae99ae1d6ebb</t>
        </is>
      </c>
      <c r="G46" s="2" t="inlineStr">
        <is>
          <t>2486103567</t>
        </is>
      </c>
      <c r="H46" s="2" t="inlineStr">
        <is>
          <t>—</t>
        </is>
      </c>
    </row>
    <row r="47">
      <c r="A47" s="2" t="n">
        <v>44</v>
      </c>
      <c r="B47" s="2" t="inlineStr">
        <is>
          <t>区县融媒</t>
        </is>
      </c>
      <c r="C47" s="2" t="inlineStr">
        <is>
          <t>秀山发布</t>
        </is>
      </c>
      <c r="D47" s="2" t="inlineStr">
        <is>
          <t>秀山县</t>
        </is>
      </c>
      <c r="E47" s="2" t="inlineStr">
        <is>
          <t>秀山发布</t>
        </is>
      </c>
      <c r="F47" s="2" t="inlineStr">
        <is>
          <t>gh_4cdfd39b28c1</t>
        </is>
      </c>
      <c r="G47" s="2" t="inlineStr">
        <is>
          <t>1823630023</t>
        </is>
      </c>
      <c r="H47" s="2" t="inlineStr">
        <is>
          <t>—</t>
        </is>
      </c>
    </row>
    <row r="48">
      <c r="A48" s="2" t="n">
        <v>45</v>
      </c>
      <c r="B48" s="2" t="inlineStr">
        <is>
          <t>区县融媒</t>
        </is>
      </c>
      <c r="C48" s="2" t="inlineStr">
        <is>
          <t>綦江发布</t>
        </is>
      </c>
      <c r="D48" s="2" t="inlineStr">
        <is>
          <t>綦江区</t>
        </is>
      </c>
      <c r="E48" s="2" t="inlineStr">
        <is>
          <t>渝南文旅、綦江发布</t>
        </is>
      </c>
      <c r="F48" s="2" t="inlineStr">
        <is>
          <t>gh_c7be38965d3a</t>
        </is>
      </c>
      <c r="G48" s="2" t="inlineStr">
        <is>
          <t>2728596282</t>
        </is>
      </c>
      <c r="H48" s="2" t="inlineStr">
        <is>
          <t>—</t>
        </is>
      </c>
    </row>
    <row r="49">
      <c r="A49" s="2" t="n">
        <v>46</v>
      </c>
      <c r="B49" s="2" t="inlineStr">
        <is>
          <t>区县融媒</t>
        </is>
      </c>
      <c r="C49" s="2" t="inlineStr">
        <is>
          <t>荣昌发布</t>
        </is>
      </c>
      <c r="D49" s="2" t="inlineStr">
        <is>
          <t>荣昌区</t>
        </is>
      </c>
      <c r="E49" s="2" t="inlineStr">
        <is>
          <t>荣昌发布</t>
        </is>
      </c>
      <c r="F49" s="2" t="inlineStr">
        <is>
          <t>gh_0eeb5b7876f7</t>
        </is>
      </c>
      <c r="G49" s="2" t="inlineStr">
        <is>
          <t>2164637562</t>
        </is>
      </c>
      <c r="H49" s="2" t="inlineStr">
        <is>
          <t>—</t>
        </is>
      </c>
    </row>
    <row r="50">
      <c r="A50" s="2" t="n">
        <v>47</v>
      </c>
      <c r="B50" s="2" t="inlineStr">
        <is>
          <t>区县融媒</t>
        </is>
      </c>
      <c r="C50" s="2" t="inlineStr">
        <is>
          <t>西部科学城</t>
        </is>
      </c>
      <c r="D50" s="2" t="inlineStr">
        <is>
          <t>科学城重庆高新区</t>
        </is>
      </c>
      <c r="E50" s="2" t="inlineStr">
        <is>
          <t>西部科学城重庆高新区、重庆高新区</t>
        </is>
      </c>
      <c r="F50" s="2" t="inlineStr">
        <is>
          <t>—</t>
        </is>
      </c>
      <c r="G50" s="2" t="inlineStr">
        <is>
          <t>7821996003</t>
        </is>
      </c>
      <c r="H50" s="2" t="inlineStr">
        <is>
          <t>—</t>
        </is>
      </c>
    </row>
    <row r="51">
      <c r="A51" s="2" t="n">
        <v>48</v>
      </c>
      <c r="B51" s="2" t="inlineStr">
        <is>
          <t>区县融媒</t>
        </is>
      </c>
      <c r="C51" s="2" t="inlineStr">
        <is>
          <t>酉阳报</t>
        </is>
      </c>
      <c r="D51" s="2" t="inlineStr">
        <is>
          <t>酉阳县</t>
        </is>
      </c>
      <c r="E51" s="2" t="inlineStr">
        <is>
          <t>酉阳发布、酉阳报</t>
        </is>
      </c>
      <c r="F51" s="2" t="inlineStr">
        <is>
          <t>gh_526e43b14ffe</t>
        </is>
      </c>
      <c r="G51" s="2" t="inlineStr">
        <is>
          <t>2730032134</t>
        </is>
      </c>
      <c r="H51" s="2" t="inlineStr">
        <is>
          <t>—</t>
        </is>
      </c>
    </row>
    <row r="52">
      <c r="A52" s="2" t="n">
        <v>49</v>
      </c>
      <c r="B52" s="2" t="inlineStr">
        <is>
          <t>区县融媒</t>
        </is>
      </c>
      <c r="C52" s="2" t="inlineStr">
        <is>
          <t>重庆两江新区</t>
        </is>
      </c>
      <c r="D52" s="2" t="inlineStr">
        <is>
          <t>两江新区</t>
        </is>
      </c>
      <c r="E52" s="2" t="inlineStr">
        <is>
          <t>两江新区发布、重庆两江新区</t>
        </is>
      </c>
      <c r="F52" s="2" t="inlineStr">
        <is>
          <t>gh_67552ffead54</t>
        </is>
      </c>
      <c r="G52" s="2" t="inlineStr">
        <is>
          <t>5146748552</t>
        </is>
      </c>
      <c r="H52" s="2" t="inlineStr">
        <is>
          <t>—</t>
        </is>
      </c>
    </row>
    <row r="53">
      <c r="A53" s="2" t="n">
        <v>50</v>
      </c>
      <c r="B53" s="2" t="inlineStr">
        <is>
          <t>区县融媒</t>
        </is>
      </c>
      <c r="C53" s="2" t="inlineStr">
        <is>
          <t>铜梁报</t>
        </is>
      </c>
      <c r="D53" s="2" t="inlineStr">
        <is>
          <t>铜梁区</t>
        </is>
      </c>
      <c r="E53" s="2" t="inlineStr">
        <is>
          <t>铜梁发布、铜梁报</t>
        </is>
      </c>
      <c r="F53" s="2" t="inlineStr">
        <is>
          <t>gh_49c1ec4f6d5d</t>
        </is>
      </c>
      <c r="G53" s="2" t="inlineStr">
        <is>
          <t>2839105330</t>
        </is>
      </c>
      <c r="H53" s="2" t="inlineStr">
        <is>
          <t>—</t>
        </is>
      </c>
    </row>
    <row r="54">
      <c r="A54" s="2" t="n">
        <v>51</v>
      </c>
      <c r="B54" s="2" t="inlineStr">
        <is>
          <t>区县融媒</t>
        </is>
      </c>
      <c r="C54" s="2" t="inlineStr">
        <is>
          <t>长寿发布</t>
        </is>
      </c>
      <c r="D54" s="2" t="inlineStr">
        <is>
          <t>长寿区</t>
        </is>
      </c>
      <c r="E54" s="2" t="inlineStr">
        <is>
          <t>长寿发布、长寿日报</t>
        </is>
      </c>
      <c r="F54" s="2" t="inlineStr">
        <is>
          <t>gh_70f69d9afa70</t>
        </is>
      </c>
      <c r="G54" s="2" t="inlineStr">
        <is>
          <t>2674720851</t>
        </is>
      </c>
      <c r="H54" s="2" t="inlineStr">
        <is>
          <t>—</t>
        </is>
      </c>
    </row>
    <row r="55">
      <c r="A55" s="2" t="n">
        <v>52</v>
      </c>
      <c r="B55" s="2" t="inlineStr">
        <is>
          <t>区县融媒</t>
        </is>
      </c>
      <c r="C55" s="2" t="inlineStr">
        <is>
          <t>黔江发布</t>
        </is>
      </c>
      <c r="D55" s="2" t="inlineStr">
        <is>
          <t>黔江区</t>
        </is>
      </c>
      <c r="E55" s="2" t="inlineStr">
        <is>
          <t>黔江发布、黔江日报</t>
        </is>
      </c>
      <c r="F55" s="2" t="inlineStr">
        <is>
          <t>gh_627d2f6b8721</t>
        </is>
      </c>
      <c r="G55" s="2" t="inlineStr">
        <is>
          <t>2780124485</t>
        </is>
      </c>
      <c r="H55" s="2" t="inlineStr">
        <is>
          <t>—</t>
        </is>
      </c>
    </row>
    <row r="56">
      <c r="A56" s="2" t="n">
        <v>53</v>
      </c>
      <c r="B56" s="2" t="inlineStr">
        <is>
          <t>区县融媒</t>
        </is>
      </c>
      <c r="C56" s="2" t="inlineStr">
        <is>
          <t>巫溪发布</t>
        </is>
      </c>
      <c r="D56" s="2" t="inlineStr">
        <is>
          <t>巫溪县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—</t>
        </is>
      </c>
      <c r="H56" s="2" t="inlineStr">
        <is>
          <t>—</t>
        </is>
      </c>
    </row>
    <row r="57">
      <c r="A57" s="1">
        <f>== 区县政务新媒体 41 家(江北→两江,市生态环境局市级) ===</f>
        <v/>
      </c>
      <c r="B57" s="1" t="inlineStr"/>
      <c r="C57" s="1" t="inlineStr"/>
      <c r="D57" s="1" t="inlineStr"/>
      <c r="E57" s="1" t="inlineStr"/>
      <c r="F57" s="1" t="inlineStr"/>
      <c r="G57" s="1" t="inlineStr"/>
      <c r="H57" s="1" t="inlineStr"/>
    </row>
    <row r="58">
      <c r="A58" s="2" t="n">
        <v>54</v>
      </c>
      <c r="B58" s="2" t="inlineStr">
        <is>
          <t>区县政务</t>
        </is>
      </c>
      <c r="C58" s="2" t="inlineStr">
        <is>
          <t>万州区生态环境局</t>
        </is>
      </c>
      <c r="D58" s="2" t="inlineStr">
        <is>
          <t>万州区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—</t>
        </is>
      </c>
      <c r="H58" s="2" t="inlineStr">
        <is>
          <t>—</t>
        </is>
      </c>
    </row>
    <row r="59">
      <c r="A59" s="2" t="n">
        <v>55</v>
      </c>
      <c r="B59" s="2" t="inlineStr">
        <is>
          <t>区县政务</t>
        </is>
      </c>
      <c r="C59" s="2" t="inlineStr">
        <is>
          <t>万盛经开区生态环境局</t>
        </is>
      </c>
      <c r="D59" s="2" t="inlineStr">
        <is>
          <t>万盛经开区</t>
        </is>
      </c>
      <c r="E59" s="2" t="inlineStr">
        <is>
          <t>—</t>
        </is>
      </c>
      <c r="F59" s="2" t="inlineStr">
        <is>
          <t>gh_f6e5784aa91f</t>
        </is>
      </c>
      <c r="G59" s="2" t="inlineStr">
        <is>
          <t>2255894862</t>
        </is>
      </c>
      <c r="H59" s="2" t="inlineStr">
        <is>
          <t>—</t>
        </is>
      </c>
    </row>
    <row r="60">
      <c r="A60" s="2" t="n">
        <v>56</v>
      </c>
      <c r="B60" s="2" t="inlineStr">
        <is>
          <t>区县政务</t>
        </is>
      </c>
      <c r="C60" s="2" t="inlineStr">
        <is>
          <t>两江新区生态环境局</t>
        </is>
      </c>
      <c r="D60" s="2" t="inlineStr">
        <is>
          <t>两江新区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—</t>
        </is>
      </c>
      <c r="H60" s="2" t="inlineStr">
        <is>
          <t>—</t>
        </is>
      </c>
    </row>
    <row r="61">
      <c r="A61" s="2" t="n">
        <v>57</v>
      </c>
      <c r="B61" s="2" t="inlineStr">
        <is>
          <t>区县政务</t>
        </is>
      </c>
      <c r="C61" s="2" t="inlineStr">
        <is>
          <t>丰都县生态环境局</t>
        </is>
      </c>
      <c r="D61" s="2" t="inlineStr">
        <is>
          <t>丰都县</t>
        </is>
      </c>
      <c r="E61" s="2" t="inlineStr">
        <is>
          <t>—</t>
        </is>
      </c>
      <c r="F61" s="2" t="inlineStr">
        <is>
          <t>gh_7d51cb36560a</t>
        </is>
      </c>
      <c r="G61" s="2" t="inlineStr">
        <is>
          <t>2310408044</t>
        </is>
      </c>
      <c r="H61" s="2" t="inlineStr">
        <is>
          <t>—</t>
        </is>
      </c>
    </row>
    <row r="62">
      <c r="A62" s="2" t="n">
        <v>58</v>
      </c>
      <c r="B62" s="2" t="inlineStr">
        <is>
          <t>区县政务</t>
        </is>
      </c>
      <c r="C62" s="2" t="inlineStr">
        <is>
          <t>九龙坡区生态环境局</t>
        </is>
      </c>
      <c r="D62" s="2" t="inlineStr">
        <is>
          <t>九龙坡区</t>
        </is>
      </c>
      <c r="E62" s="2" t="inlineStr">
        <is>
          <t>—</t>
        </is>
      </c>
      <c r="F62" s="2" t="inlineStr">
        <is>
          <t>gh_6bec1f8f7084</t>
        </is>
      </c>
      <c r="G62" s="2" t="inlineStr">
        <is>
          <t>—</t>
        </is>
      </c>
      <c r="H62" s="2" t="inlineStr">
        <is>
          <t>—</t>
        </is>
      </c>
    </row>
    <row r="63">
      <c r="A63" s="2" t="n">
        <v>59</v>
      </c>
      <c r="B63" s="2" t="inlineStr">
        <is>
          <t>区县政务</t>
        </is>
      </c>
      <c r="C63" s="2" t="inlineStr">
        <is>
          <t>云阳县生态环境局</t>
        </is>
      </c>
      <c r="D63" s="2" t="inlineStr">
        <is>
          <t>云阳县</t>
        </is>
      </c>
      <c r="E63" s="2" t="inlineStr">
        <is>
          <t>—</t>
        </is>
      </c>
      <c r="F63" s="2" t="inlineStr">
        <is>
          <t>gh_f26585a35dc6</t>
        </is>
      </c>
      <c r="G63" s="2" t="inlineStr">
        <is>
          <t>2271772325</t>
        </is>
      </c>
      <c r="H63" s="2" t="inlineStr">
        <is>
          <t>—</t>
        </is>
      </c>
    </row>
    <row r="64">
      <c r="A64" s="2" t="n">
        <v>60</v>
      </c>
      <c r="B64" s="2" t="inlineStr">
        <is>
          <t>区县政务</t>
        </is>
      </c>
      <c r="C64" s="2" t="inlineStr">
        <is>
          <t>北碚区生态环境局</t>
        </is>
      </c>
      <c r="D64" s="2" t="inlineStr">
        <is>
          <t>北碚区</t>
        </is>
      </c>
      <c r="E64" s="2" t="inlineStr">
        <is>
          <t>—</t>
        </is>
      </c>
      <c r="F64" s="2" t="inlineStr">
        <is>
          <t>gh_8b32418e8bab</t>
        </is>
      </c>
      <c r="G64" s="2" t="inlineStr">
        <is>
          <t>2142214113</t>
        </is>
      </c>
      <c r="H64" s="2" t="inlineStr">
        <is>
          <t>—</t>
        </is>
      </c>
    </row>
    <row r="65">
      <c r="A65" s="2" t="n">
        <v>61</v>
      </c>
      <c r="B65" s="2" t="inlineStr">
        <is>
          <t>区县政务</t>
        </is>
      </c>
      <c r="C65" s="2" t="inlineStr">
        <is>
          <t>南岸区生态环境局</t>
        </is>
      </c>
      <c r="D65" s="2" t="inlineStr">
        <is>
          <t>南岸区</t>
        </is>
      </c>
      <c r="E65" s="2" t="inlineStr">
        <is>
          <t>—</t>
        </is>
      </c>
      <c r="F65" s="2" t="inlineStr">
        <is>
          <t>gh_76f850f7ac9e</t>
        </is>
      </c>
      <c r="G65" s="2" t="inlineStr">
        <is>
          <t>2218663347</t>
        </is>
      </c>
      <c r="H65" s="2" t="inlineStr">
        <is>
          <t>—</t>
        </is>
      </c>
    </row>
    <row r="66">
      <c r="A66" s="2" t="n">
        <v>62</v>
      </c>
      <c r="B66" s="2" t="inlineStr">
        <is>
          <t>区县政务</t>
        </is>
      </c>
      <c r="C66" s="2" t="inlineStr">
        <is>
          <t>南川区生态环境局</t>
        </is>
      </c>
      <c r="D66" s="2" t="inlineStr">
        <is>
          <t>南川区</t>
        </is>
      </c>
      <c r="E66" s="2" t="inlineStr">
        <is>
          <t>—</t>
        </is>
      </c>
      <c r="F66" s="2" t="inlineStr">
        <is>
          <t>gh_9faa9ef88032</t>
        </is>
      </c>
      <c r="G66" s="2" t="inlineStr">
        <is>
          <t>—</t>
        </is>
      </c>
      <c r="H66" s="2" t="inlineStr">
        <is>
          <t>—</t>
        </is>
      </c>
    </row>
    <row r="67">
      <c r="A67" s="2" t="n">
        <v>63</v>
      </c>
      <c r="B67" s="2" t="inlineStr">
        <is>
          <t>区县政务</t>
        </is>
      </c>
      <c r="C67" s="2" t="inlineStr">
        <is>
          <t>合川区生态环境局</t>
        </is>
      </c>
      <c r="D67" s="2" t="inlineStr">
        <is>
          <t>合川区</t>
        </is>
      </c>
      <c r="E67" s="2" t="inlineStr">
        <is>
          <t>—</t>
        </is>
      </c>
      <c r="F67" s="2" t="inlineStr">
        <is>
          <t>gh_6f846b15e942</t>
        </is>
      </c>
      <c r="G67" s="2" t="inlineStr">
        <is>
          <t>—</t>
        </is>
      </c>
      <c r="H67" s="2" t="inlineStr">
        <is>
          <t>—</t>
        </is>
      </c>
    </row>
    <row r="68">
      <c r="A68" s="2" t="n">
        <v>64</v>
      </c>
      <c r="B68" s="2" t="inlineStr">
        <is>
          <t>区县政务</t>
        </is>
      </c>
      <c r="C68" s="2" t="inlineStr">
        <is>
          <t>垫江县生态环境局</t>
        </is>
      </c>
      <c r="D68" s="2" t="inlineStr">
        <is>
          <t>垫江县</t>
        </is>
      </c>
      <c r="E68" s="2" t="inlineStr">
        <is>
          <t>—</t>
        </is>
      </c>
      <c r="F68" s="2" t="inlineStr">
        <is>
          <t>gh_224df397212a</t>
        </is>
      </c>
      <c r="G68" s="2" t="inlineStr">
        <is>
          <t>—</t>
        </is>
      </c>
      <c r="H68" s="2" t="inlineStr">
        <is>
          <t>—</t>
        </is>
      </c>
    </row>
    <row r="69">
      <c r="A69" s="2" t="n">
        <v>65</v>
      </c>
      <c r="B69" s="2" t="inlineStr">
        <is>
          <t>区县政务</t>
        </is>
      </c>
      <c r="C69" s="2" t="inlineStr">
        <is>
          <t>城口县生态环境局</t>
        </is>
      </c>
      <c r="D69" s="2" t="inlineStr">
        <is>
          <t>城口县</t>
        </is>
      </c>
      <c r="E69" s="2" t="inlineStr">
        <is>
          <t>—</t>
        </is>
      </c>
      <c r="F69" s="2" t="inlineStr">
        <is>
          <t>gh_6b8f85a103cc</t>
        </is>
      </c>
      <c r="G69" s="2" t="inlineStr">
        <is>
          <t>2253831692</t>
        </is>
      </c>
      <c r="H69" s="2" t="inlineStr">
        <is>
          <t>—</t>
        </is>
      </c>
    </row>
    <row r="70">
      <c r="A70" s="2" t="n">
        <v>66</v>
      </c>
      <c r="B70" s="2" t="inlineStr">
        <is>
          <t>区县政务</t>
        </is>
      </c>
      <c r="C70" s="2" t="inlineStr">
        <is>
          <t>大渡口区生态环境局</t>
        </is>
      </c>
      <c r="D70" s="2" t="inlineStr">
        <is>
          <t>大渡口区</t>
        </is>
      </c>
      <c r="E70" s="2" t="inlineStr">
        <is>
          <t>—</t>
        </is>
      </c>
      <c r="F70" s="2" t="inlineStr">
        <is>
          <t>gh_91775136e680</t>
        </is>
      </c>
      <c r="G70" s="2" t="inlineStr">
        <is>
          <t>—</t>
        </is>
      </c>
      <c r="H70" s="2" t="inlineStr">
        <is>
          <t>—</t>
        </is>
      </c>
    </row>
    <row r="71">
      <c r="A71" s="2" t="n">
        <v>67</v>
      </c>
      <c r="B71" s="2" t="inlineStr">
        <is>
          <t>区县政务</t>
        </is>
      </c>
      <c r="C71" s="2" t="inlineStr">
        <is>
          <t>大足区生态环境局</t>
        </is>
      </c>
      <c r="D71" s="2" t="inlineStr">
        <is>
          <t>大足区</t>
        </is>
      </c>
      <c r="E71" s="2" t="inlineStr">
        <is>
          <t>—</t>
        </is>
      </c>
      <c r="F71" s="2" t="inlineStr">
        <is>
          <t>gh_6e83d0336fd5</t>
        </is>
      </c>
      <c r="G71" s="2" t="inlineStr">
        <is>
          <t>2298268975</t>
        </is>
      </c>
      <c r="H71" s="2" t="inlineStr">
        <is>
          <t>—</t>
        </is>
      </c>
    </row>
    <row r="72">
      <c r="A72" s="2" t="n">
        <v>68</v>
      </c>
      <c r="B72" s="2" t="inlineStr">
        <is>
          <t>区县政务</t>
        </is>
      </c>
      <c r="C72" s="2" t="inlineStr">
        <is>
          <t>奉节县生态环境局</t>
        </is>
      </c>
      <c r="D72" s="2" t="inlineStr">
        <is>
          <t>奉节县</t>
        </is>
      </c>
      <c r="E72" s="2" t="inlineStr">
        <is>
          <t>—</t>
        </is>
      </c>
      <c r="F72" s="2" t="inlineStr">
        <is>
          <t>gh_a717f1b74bb2</t>
        </is>
      </c>
      <c r="G72" s="2" t="inlineStr">
        <is>
          <t>—</t>
        </is>
      </c>
      <c r="H72" s="2" t="inlineStr">
        <is>
          <t>—</t>
        </is>
      </c>
    </row>
    <row r="73">
      <c r="A73" s="2" t="n">
        <v>69</v>
      </c>
      <c r="B73" s="2" t="inlineStr">
        <is>
          <t>区县政务</t>
        </is>
      </c>
      <c r="C73" s="2" t="inlineStr">
        <is>
          <t>巫山县生态环境局</t>
        </is>
      </c>
      <c r="D73" s="2" t="inlineStr">
        <is>
          <t>巫山县</t>
        </is>
      </c>
      <c r="E73" s="2" t="inlineStr">
        <is>
          <t>—</t>
        </is>
      </c>
      <c r="F73" s="2" t="inlineStr">
        <is>
          <t>gh_25f6ece1d542</t>
        </is>
      </c>
      <c r="G73" s="2" t="inlineStr">
        <is>
          <t>—</t>
        </is>
      </c>
      <c r="H73" s="2" t="inlineStr">
        <is>
          <t>—</t>
        </is>
      </c>
    </row>
    <row r="74">
      <c r="A74" s="2" t="n">
        <v>70</v>
      </c>
      <c r="B74" s="2" t="inlineStr">
        <is>
          <t>区县政务</t>
        </is>
      </c>
      <c r="C74" s="2" t="inlineStr">
        <is>
          <t>巫溪县生态环境局</t>
        </is>
      </c>
      <c r="D74" s="2" t="inlineStr">
        <is>
          <t>巫溪县</t>
        </is>
      </c>
      <c r="E74" s="2" t="inlineStr">
        <is>
          <t>—</t>
        </is>
      </c>
      <c r="F74" s="2" t="inlineStr">
        <is>
          <t>gh_00abe99a562e</t>
        </is>
      </c>
      <c r="G74" s="2" t="inlineStr">
        <is>
          <t>2255242614</t>
        </is>
      </c>
      <c r="H74" s="2" t="inlineStr">
        <is>
          <t>—</t>
        </is>
      </c>
    </row>
    <row r="75">
      <c r="A75" s="2" t="n">
        <v>71</v>
      </c>
      <c r="B75" s="2" t="inlineStr">
        <is>
          <t>区县政务</t>
        </is>
      </c>
      <c r="C75" s="2" t="inlineStr">
        <is>
          <t>巴南区生态环境局</t>
        </is>
      </c>
      <c r="D75" s="2" t="inlineStr">
        <is>
          <t>巴南区</t>
        </is>
      </c>
      <c r="E75" s="2" t="inlineStr">
        <is>
          <t>—</t>
        </is>
      </c>
      <c r="F75" s="2" t="inlineStr">
        <is>
          <t>gh_7de7dc8758ef</t>
        </is>
      </c>
      <c r="G75" s="2" t="inlineStr">
        <is>
          <t>—</t>
        </is>
      </c>
      <c r="H75" s="2" t="inlineStr">
        <is>
          <t>—</t>
        </is>
      </c>
    </row>
    <row r="76">
      <c r="A76" s="2" t="n">
        <v>72</v>
      </c>
      <c r="B76" s="2" t="inlineStr">
        <is>
          <t>区县政务</t>
        </is>
      </c>
      <c r="C76" s="2" t="inlineStr">
        <is>
          <t>开州区生态环境局</t>
        </is>
      </c>
      <c r="D76" s="2" t="inlineStr">
        <is>
          <t>开州区</t>
        </is>
      </c>
      <c r="E76" s="2" t="inlineStr">
        <is>
          <t>—</t>
        </is>
      </c>
      <c r="F76" s="2" t="inlineStr">
        <is>
          <t>gh_b89ef474cdea</t>
        </is>
      </c>
      <c r="G76" s="2" t="inlineStr">
        <is>
          <t>2233005282</t>
        </is>
      </c>
      <c r="H76" s="2" t="inlineStr">
        <is>
          <t>—</t>
        </is>
      </c>
    </row>
    <row r="77">
      <c r="A77" s="2" t="n">
        <v>73</v>
      </c>
      <c r="B77" s="2" t="inlineStr">
        <is>
          <t>区县政务</t>
        </is>
      </c>
      <c r="C77" s="2" t="inlineStr">
        <is>
          <t>彭水县生态环境局</t>
        </is>
      </c>
      <c r="D77" s="2" t="inlineStr">
        <is>
          <t>彭水县</t>
        </is>
      </c>
      <c r="E77" s="2" t="inlineStr">
        <is>
          <t>—</t>
        </is>
      </c>
      <c r="F77" s="2" t="inlineStr">
        <is>
          <t>gh_859fb9c07011</t>
        </is>
      </c>
      <c r="G77" s="2" t="inlineStr">
        <is>
          <t>2187765240</t>
        </is>
      </c>
      <c r="H77" s="2" t="inlineStr">
        <is>
          <t>—</t>
        </is>
      </c>
    </row>
    <row r="78">
      <c r="A78" s="2" t="n">
        <v>74</v>
      </c>
      <c r="B78" s="2" t="inlineStr">
        <is>
          <t>区县政务</t>
        </is>
      </c>
      <c r="C78" s="2" t="inlineStr">
        <is>
          <t>忠县生态环境局</t>
        </is>
      </c>
      <c r="D78" s="2" t="inlineStr">
        <is>
          <t>忠县</t>
        </is>
      </c>
      <c r="E78" s="2" t="inlineStr">
        <is>
          <t>—</t>
        </is>
      </c>
      <c r="F78" s="2" t="inlineStr">
        <is>
          <t>gh_9d24c9624236</t>
        </is>
      </c>
      <c r="G78" s="2" t="inlineStr">
        <is>
          <t>—</t>
        </is>
      </c>
      <c r="H78" s="2" t="inlineStr">
        <is>
          <t>—</t>
        </is>
      </c>
    </row>
    <row r="79">
      <c r="A79" s="2" t="n">
        <v>75</v>
      </c>
      <c r="B79" s="2" t="inlineStr">
        <is>
          <t>区县政务</t>
        </is>
      </c>
      <c r="C79" s="2" t="inlineStr">
        <is>
          <t>梁平区生态环境局</t>
        </is>
      </c>
      <c r="D79" s="2" t="inlineStr">
        <is>
          <t>梁平区</t>
        </is>
      </c>
      <c r="E79" s="2" t="inlineStr">
        <is>
          <t>—</t>
        </is>
      </c>
      <c r="F79" s="2" t="inlineStr">
        <is>
          <t>gh_11b5bf70bf08</t>
        </is>
      </c>
      <c r="G79" s="2" t="inlineStr">
        <is>
          <t>2267484543</t>
        </is>
      </c>
      <c r="H79" s="2" t="inlineStr">
        <is>
          <t>—</t>
        </is>
      </c>
    </row>
    <row r="80">
      <c r="A80" s="2" t="n">
        <v>76</v>
      </c>
      <c r="B80" s="2" t="inlineStr">
        <is>
          <t>区县政务</t>
        </is>
      </c>
      <c r="C80" s="2" t="inlineStr">
        <is>
          <t>武隆区生态环境局</t>
        </is>
      </c>
      <c r="D80" s="2" t="inlineStr">
        <is>
          <t>武隆区</t>
        </is>
      </c>
      <c r="E80" s="2" t="inlineStr">
        <is>
          <t>—</t>
        </is>
      </c>
      <c r="F80" s="2" t="inlineStr">
        <is>
          <t>gh_640c229a5b89</t>
        </is>
      </c>
      <c r="G80" s="2" t="inlineStr">
        <is>
          <t>2253850654</t>
        </is>
      </c>
      <c r="H80" s="2" t="inlineStr">
        <is>
          <t>—</t>
        </is>
      </c>
    </row>
    <row r="81">
      <c r="A81" s="2" t="n">
        <v>77</v>
      </c>
      <c r="B81" s="2" t="inlineStr">
        <is>
          <t>区县政务</t>
        </is>
      </c>
      <c r="C81" s="2" t="inlineStr">
        <is>
          <t>永川区生态环境局</t>
        </is>
      </c>
      <c r="D81" s="2" t="inlineStr">
        <is>
          <t>永川区</t>
        </is>
      </c>
      <c r="E81" s="2" t="inlineStr">
        <is>
          <t>—</t>
        </is>
      </c>
      <c r="F81" s="2" t="inlineStr">
        <is>
          <t>gh_bfdbc2972e5e</t>
        </is>
      </c>
      <c r="G81" s="2" t="inlineStr">
        <is>
          <t>2215926892</t>
        </is>
      </c>
      <c r="H81" s="2" t="inlineStr">
        <is>
          <t>—</t>
        </is>
      </c>
    </row>
    <row r="82">
      <c r="A82" s="2" t="n">
        <v>78</v>
      </c>
      <c r="B82" s="2" t="inlineStr">
        <is>
          <t>区县政务</t>
        </is>
      </c>
      <c r="C82" s="2" t="inlineStr">
        <is>
          <t>江北区生态环境局</t>
        </is>
      </c>
      <c r="D82" s="2" t="inlineStr">
        <is>
          <t>两江新区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—</t>
        </is>
      </c>
      <c r="H82" s="2" t="inlineStr">
        <is>
          <t>—</t>
        </is>
      </c>
    </row>
    <row r="83">
      <c r="A83" s="2" t="n">
        <v>79</v>
      </c>
      <c r="B83" s="2" t="inlineStr">
        <is>
          <t>区县政务</t>
        </is>
      </c>
      <c r="C83" s="2" t="inlineStr">
        <is>
          <t>江津区生态环境局</t>
        </is>
      </c>
      <c r="D83" s="2" t="inlineStr">
        <is>
          <t>江津区</t>
        </is>
      </c>
      <c r="E83" s="2" t="inlineStr">
        <is>
          <t>—</t>
        </is>
      </c>
      <c r="F83" s="2" t="inlineStr">
        <is>
          <t>gh_7aa3480c6ed9</t>
        </is>
      </c>
      <c r="G83" s="2" t="inlineStr">
        <is>
          <t>—</t>
        </is>
      </c>
      <c r="H83" s="2" t="inlineStr">
        <is>
          <t>—</t>
        </is>
      </c>
    </row>
    <row r="84">
      <c r="A84" s="2" t="n">
        <v>80</v>
      </c>
      <c r="B84" s="2" t="inlineStr">
        <is>
          <t>区县政务</t>
        </is>
      </c>
      <c r="C84" s="2" t="inlineStr">
        <is>
          <t>沙坪坝区生态环境局</t>
        </is>
      </c>
      <c r="D84" s="2" t="inlineStr">
        <is>
          <t>沙坪坝区</t>
        </is>
      </c>
      <c r="E84" s="2" t="inlineStr">
        <is>
          <t>—</t>
        </is>
      </c>
      <c r="F84" s="2" t="inlineStr">
        <is>
          <t>gh_15f7fb2a8b4d</t>
        </is>
      </c>
      <c r="G84" s="2" t="inlineStr">
        <is>
          <t>—</t>
        </is>
      </c>
      <c r="H84" s="2" t="inlineStr">
        <is>
          <t>—</t>
        </is>
      </c>
    </row>
    <row r="85">
      <c r="A85" s="2" t="n">
        <v>81</v>
      </c>
      <c r="B85" s="2" t="inlineStr">
        <is>
          <t>区县政务</t>
        </is>
      </c>
      <c r="C85" s="2" t="inlineStr">
        <is>
          <t>涪陵区生态环境局</t>
        </is>
      </c>
      <c r="D85" s="2" t="inlineStr">
        <is>
          <t>涪陵区</t>
        </is>
      </c>
      <c r="E85" s="2" t="inlineStr">
        <is>
          <t>—</t>
        </is>
      </c>
      <c r="F85" s="2" t="inlineStr">
        <is>
          <t>gh_85f6deb452e2</t>
        </is>
      </c>
      <c r="G85" s="2" t="inlineStr">
        <is>
          <t>2186934430</t>
        </is>
      </c>
      <c r="H85" s="2" t="inlineStr">
        <is>
          <t>—</t>
        </is>
      </c>
    </row>
    <row r="86">
      <c r="A86" s="2" t="n">
        <v>82</v>
      </c>
      <c r="B86" s="2" t="inlineStr">
        <is>
          <t>区县政务</t>
        </is>
      </c>
      <c r="C86" s="2" t="inlineStr">
        <is>
          <t>渝中区生态环境局</t>
        </is>
      </c>
      <c r="D86" s="2" t="inlineStr">
        <is>
          <t>渝中区</t>
        </is>
      </c>
      <c r="E86" s="2" t="inlineStr">
        <is>
          <t>—</t>
        </is>
      </c>
      <c r="F86" s="2" t="inlineStr">
        <is>
          <t>gh_b57491a811b7</t>
        </is>
      </c>
      <c r="G86" s="2" t="inlineStr">
        <is>
          <t>—</t>
        </is>
      </c>
      <c r="H86" s="2" t="inlineStr">
        <is>
          <t>—</t>
        </is>
      </c>
    </row>
    <row r="87">
      <c r="A87" s="2" t="n">
        <v>83</v>
      </c>
      <c r="B87" s="2" t="inlineStr">
        <is>
          <t>区县政务</t>
        </is>
      </c>
      <c r="C87" s="2" t="inlineStr">
        <is>
          <t>潼南区生态环境局</t>
        </is>
      </c>
      <c r="D87" s="2" t="inlineStr">
        <is>
          <t>潼南区</t>
        </is>
      </c>
      <c r="E87" s="2" t="inlineStr">
        <is>
          <t>—</t>
        </is>
      </c>
      <c r="F87" s="2" t="inlineStr">
        <is>
          <t>gh_9a7d9beaf1ff</t>
        </is>
      </c>
      <c r="G87" s="2" t="inlineStr">
        <is>
          <t>2214380234</t>
        </is>
      </c>
      <c r="H87" s="2" t="inlineStr">
        <is>
          <t>—</t>
        </is>
      </c>
    </row>
    <row r="88">
      <c r="A88" s="2" t="n">
        <v>84</v>
      </c>
      <c r="B88" s="2" t="inlineStr">
        <is>
          <t>区县政务</t>
        </is>
      </c>
      <c r="C88" s="2" t="inlineStr">
        <is>
          <t>璧山区生态环境局</t>
        </is>
      </c>
      <c r="D88" s="2" t="inlineStr">
        <is>
          <t>璧山区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—</t>
        </is>
      </c>
      <c r="H88" s="2" t="inlineStr">
        <is>
          <t>—</t>
        </is>
      </c>
    </row>
    <row r="89">
      <c r="A89" s="2" t="n">
        <v>85</v>
      </c>
      <c r="B89" s="2" t="inlineStr">
        <is>
          <t>区县政务</t>
        </is>
      </c>
      <c r="C89" s="2" t="inlineStr">
        <is>
          <t>石柱县生态环境局</t>
        </is>
      </c>
      <c r="D89" s="2" t="inlineStr">
        <is>
          <t>石柱县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3361208880</t>
        </is>
      </c>
      <c r="H89" s="2" t="inlineStr">
        <is>
          <t>—</t>
        </is>
      </c>
    </row>
    <row r="90">
      <c r="A90" s="2" t="n">
        <v>86</v>
      </c>
      <c r="B90" s="2" t="inlineStr">
        <is>
          <t>区县政务</t>
        </is>
      </c>
      <c r="C90" s="2" t="inlineStr">
        <is>
          <t>秀山县生态环境局</t>
        </is>
      </c>
      <c r="D90" s="2" t="inlineStr">
        <is>
          <t>秀山县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—</t>
        </is>
      </c>
      <c r="H90" s="2" t="inlineStr">
        <is>
          <t>—</t>
        </is>
      </c>
    </row>
    <row r="91">
      <c r="A91" s="2" t="n">
        <v>87</v>
      </c>
      <c r="B91" s="2" t="inlineStr">
        <is>
          <t>区县政务</t>
        </is>
      </c>
      <c r="C91" s="2" t="inlineStr">
        <is>
          <t>科学城重庆高新区生态环境局</t>
        </is>
      </c>
      <c r="D91" s="2" t="inlineStr">
        <is>
          <t>科学城重庆高新区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—</t>
        </is>
      </c>
      <c r="H91" s="2" t="inlineStr">
        <is>
          <t>—</t>
        </is>
      </c>
    </row>
    <row r="92">
      <c r="A92" s="2" t="n">
        <v>88</v>
      </c>
      <c r="B92" s="2" t="inlineStr">
        <is>
          <t>区县政务</t>
        </is>
      </c>
      <c r="C92" s="2" t="inlineStr">
        <is>
          <t>綦江区生态环境局</t>
        </is>
      </c>
      <c r="D92" s="2" t="inlineStr">
        <is>
          <t>綦江区</t>
        </is>
      </c>
      <c r="E92" s="2" t="inlineStr">
        <is>
          <t>—</t>
        </is>
      </c>
      <c r="F92" s="2" t="inlineStr">
        <is>
          <t>gh_fcef690dd754</t>
        </is>
      </c>
      <c r="G92" s="2" t="inlineStr">
        <is>
          <t>2172091512</t>
        </is>
      </c>
      <c r="H92" s="2" t="inlineStr">
        <is>
          <t>—</t>
        </is>
      </c>
    </row>
    <row r="93">
      <c r="A93" s="2" t="n">
        <v>89</v>
      </c>
      <c r="B93" s="2" t="inlineStr">
        <is>
          <t>区县政务</t>
        </is>
      </c>
      <c r="C93" s="2" t="inlineStr">
        <is>
          <t>荣昌区生态环境局</t>
        </is>
      </c>
      <c r="D93" s="2" t="inlineStr">
        <is>
          <t>荣昌区</t>
        </is>
      </c>
      <c r="E93" s="2" t="inlineStr">
        <is>
          <t>—</t>
        </is>
      </c>
      <c r="F93" s="2" t="inlineStr">
        <is>
          <t>gh_37596628646e</t>
        </is>
      </c>
      <c r="G93" s="2" t="inlineStr">
        <is>
          <t>2198370924</t>
        </is>
      </c>
      <c r="H93" s="2" t="inlineStr">
        <is>
          <t>—</t>
        </is>
      </c>
    </row>
    <row r="94">
      <c r="A94" s="2" t="n">
        <v>90</v>
      </c>
      <c r="B94" s="2" t="inlineStr">
        <is>
          <t>区县政务</t>
        </is>
      </c>
      <c r="C94" s="2" t="inlineStr">
        <is>
          <t>酉阳县生态环境局</t>
        </is>
      </c>
      <c r="D94" s="2" t="inlineStr">
        <is>
          <t>酉阳县</t>
        </is>
      </c>
      <c r="E94" s="2" t="inlineStr">
        <is>
          <t>—</t>
        </is>
      </c>
      <c r="F94" s="2" t="inlineStr">
        <is>
          <t>gh_485cf53a196c</t>
        </is>
      </c>
      <c r="G94" s="2" t="inlineStr">
        <is>
          <t>—</t>
        </is>
      </c>
      <c r="H94" s="2" t="inlineStr">
        <is>
          <t>—</t>
        </is>
      </c>
    </row>
    <row r="95">
      <c r="A95" s="2" t="n">
        <v>91</v>
      </c>
      <c r="B95" s="2" t="inlineStr">
        <is>
          <t>区县政务</t>
        </is>
      </c>
      <c r="C95" s="2" t="inlineStr">
        <is>
          <t>重庆市生态环境局</t>
        </is>
      </c>
      <c r="D95" s="2" t="inlineStr">
        <is>
          <t>_市级_</t>
        </is>
      </c>
      <c r="E95" s="2" t="inlineStr">
        <is>
          <t>重庆生态环境</t>
        </is>
      </c>
      <c r="F95" s="2" t="inlineStr">
        <is>
          <t>gh_a0c2699898e2</t>
        </is>
      </c>
      <c r="G95" s="2" t="inlineStr">
        <is>
          <t>2144075181</t>
        </is>
      </c>
      <c r="H95" s="2" t="inlineStr">
        <is>
          <t>—</t>
        </is>
      </c>
    </row>
    <row r="96">
      <c r="A96" s="2" t="n">
        <v>92</v>
      </c>
      <c r="B96" s="2" t="inlineStr">
        <is>
          <t>区县政务</t>
        </is>
      </c>
      <c r="C96" s="2" t="inlineStr">
        <is>
          <t>铜梁区生态环境局</t>
        </is>
      </c>
      <c r="D96" s="2" t="inlineStr">
        <is>
          <t>铜梁区</t>
        </is>
      </c>
      <c r="E96" s="2" t="inlineStr">
        <is>
          <t>—</t>
        </is>
      </c>
      <c r="F96" s="2" t="inlineStr">
        <is>
          <t>gh_71bff76ee4e6</t>
        </is>
      </c>
      <c r="G96" s="2" t="inlineStr">
        <is>
          <t>—</t>
        </is>
      </c>
      <c r="H96" s="2" t="inlineStr">
        <is>
          <t>—</t>
        </is>
      </c>
    </row>
    <row r="97">
      <c r="A97" s="2" t="n">
        <v>93</v>
      </c>
      <c r="B97" s="2" t="inlineStr">
        <is>
          <t>区县政务</t>
        </is>
      </c>
      <c r="C97" s="2" t="inlineStr">
        <is>
          <t>长寿区生态环境局</t>
        </is>
      </c>
      <c r="D97" s="2" t="inlineStr">
        <is>
          <t>长寿区</t>
        </is>
      </c>
      <c r="E97" s="2" t="inlineStr">
        <is>
          <t>—</t>
        </is>
      </c>
      <c r="F97" s="2" t="inlineStr">
        <is>
          <t>gh_e95a8230cfe9</t>
        </is>
      </c>
      <c r="G97" s="2" t="inlineStr">
        <is>
          <t>2255935842</t>
        </is>
      </c>
      <c r="H97" s="2" t="inlineStr">
        <is>
          <t>—</t>
        </is>
      </c>
    </row>
    <row r="98">
      <c r="A98" s="2" t="n">
        <v>94</v>
      </c>
      <c r="B98" s="2" t="inlineStr">
        <is>
          <t>区县政务</t>
        </is>
      </c>
      <c r="C98" s="2" t="inlineStr">
        <is>
          <t>黔江区生态环境局</t>
        </is>
      </c>
      <c r="D98" s="2" t="inlineStr">
        <is>
          <t>黔江区</t>
        </is>
      </c>
      <c r="E98" s="2" t="inlineStr">
        <is>
          <t>—</t>
        </is>
      </c>
      <c r="F98" s="2" t="inlineStr">
        <is>
          <t>gh_b611a932bb51</t>
        </is>
      </c>
      <c r="G98" s="2" t="inlineStr">
        <is>
          <t>—</t>
        </is>
      </c>
      <c r="H98" s="2" t="inlineStr">
        <is>
          <t>—</t>
        </is>
      </c>
    </row>
    <row r="100">
      <c r="A100" s="3">
        <f>== 16 个生态文明传播主题词 ===</f>
        <v/>
      </c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</row>
    <row r="101">
      <c r="A101" t="n">
        <v>1</v>
      </c>
      <c r="B101" t="inlineStr">
        <is>
          <t>主题词</t>
        </is>
      </c>
      <c r="C101" t="inlineStr">
        <is>
          <t>低碳经济</t>
        </is>
      </c>
      <c r="D101" t="inlineStr">
        <is>
          <t>—</t>
        </is>
      </c>
      <c r="E101" t="inlineStr">
        <is>
          <t>绿色生活、低碳消费</t>
        </is>
      </c>
      <c r="F101" t="inlineStr">
        <is>
          <t>—</t>
        </is>
      </c>
      <c r="G101" t="inlineStr">
        <is>
          <t>—</t>
        </is>
      </c>
      <c r="H101" t="inlineStr">
        <is>
          <t>—</t>
        </is>
      </c>
    </row>
    <row r="102">
      <c r="A102" t="n">
        <v>2</v>
      </c>
      <c r="B102" t="inlineStr">
        <is>
          <t>主题词</t>
        </is>
      </c>
      <c r="C102" t="inlineStr">
        <is>
          <t>制度建设</t>
        </is>
      </c>
      <c r="D102" t="inlineStr">
        <is>
          <t>—</t>
        </is>
      </c>
      <c r="E102" t="inlineStr">
        <is>
          <t>生态文明制度、生态文明建设、生态文明体制改革</t>
        </is>
      </c>
      <c r="F102" t="inlineStr">
        <is>
          <t>—</t>
        </is>
      </c>
      <c r="G102" t="inlineStr">
        <is>
          <t>—</t>
        </is>
      </c>
      <c r="H102" t="inlineStr">
        <is>
          <t>—</t>
        </is>
      </c>
    </row>
    <row r="103">
      <c r="A103" t="n">
        <v>3</v>
      </c>
      <c r="B103" t="inlineStr">
        <is>
          <t>主题词</t>
        </is>
      </c>
      <c r="C103" t="inlineStr">
        <is>
          <t>双碳</t>
        </is>
      </c>
      <c r="D103" t="inlineStr">
        <is>
          <t>—</t>
        </is>
      </c>
      <c r="E103" t="inlineStr">
        <is>
          <t>碳达峰碳中和、降污减碳、碳交易</t>
        </is>
      </c>
      <c r="F103" t="inlineStr">
        <is>
          <t>—</t>
        </is>
      </c>
      <c r="G103" t="inlineStr">
        <is>
          <t>—</t>
        </is>
      </c>
      <c r="H103" t="inlineStr">
        <is>
          <t>—</t>
        </is>
      </c>
    </row>
    <row r="104">
      <c r="A104" t="n">
        <v>4</v>
      </c>
      <c r="B104" t="inlineStr">
        <is>
          <t>主题词</t>
        </is>
      </c>
      <c r="C104" t="inlineStr">
        <is>
          <t>和谐共生</t>
        </is>
      </c>
      <c r="D104" t="inlineStr">
        <is>
          <t>—</t>
        </is>
      </c>
      <c r="E104" t="inlineStr">
        <is>
          <t>地球生命共同体、绿色丝绸之路</t>
        </is>
      </c>
      <c r="F104" t="inlineStr">
        <is>
          <t>—</t>
        </is>
      </c>
      <c r="G104" t="inlineStr">
        <is>
          <t>—</t>
        </is>
      </c>
      <c r="H104" t="inlineStr">
        <is>
          <t>—</t>
        </is>
      </c>
    </row>
    <row r="105">
      <c r="A105" t="n">
        <v>5</v>
      </c>
      <c r="B105" t="inlineStr">
        <is>
          <t>主题词</t>
        </is>
      </c>
      <c r="C105" t="inlineStr">
        <is>
          <t>国家公园</t>
        </is>
      </c>
      <c r="D105" t="inlineStr">
        <is>
          <t>—</t>
        </is>
      </c>
      <c r="E105" t="inlineStr">
        <is>
          <t>国家森林公园</t>
        </is>
      </c>
      <c r="F105" t="inlineStr">
        <is>
          <t>—</t>
        </is>
      </c>
      <c r="G105" t="inlineStr">
        <is>
          <t>—</t>
        </is>
      </c>
      <c r="H105" t="inlineStr">
        <is>
          <t>—</t>
        </is>
      </c>
    </row>
    <row r="106">
      <c r="A106" t="n">
        <v>6</v>
      </c>
      <c r="B106" t="inlineStr">
        <is>
          <t>主题词</t>
        </is>
      </c>
      <c r="C106" t="inlineStr">
        <is>
          <t>污染防治攻坚战</t>
        </is>
      </c>
      <c r="D106" t="inlineStr">
        <is>
          <t>—</t>
        </is>
      </c>
      <c r="E106" t="inlineStr">
        <is>
          <t>蓝天、碧水、净土保卫战</t>
        </is>
      </c>
      <c r="F106" t="inlineStr">
        <is>
          <t>—</t>
        </is>
      </c>
      <c r="G106" t="inlineStr">
        <is>
          <t>—</t>
        </is>
      </c>
      <c r="H106" t="inlineStr">
        <is>
          <t>—</t>
        </is>
      </c>
    </row>
    <row r="107">
      <c r="A107" t="n">
        <v>7</v>
      </c>
      <c r="B107" t="inlineStr">
        <is>
          <t>主题词</t>
        </is>
      </c>
      <c r="C107" t="inlineStr">
        <is>
          <t>清洁能源</t>
        </is>
      </c>
      <c r="D107" t="inlineStr">
        <is>
          <t>—</t>
        </is>
      </c>
      <c r="E107" t="inlineStr">
        <is>
          <t>能源消费革命、新型能源体系、'无废城市'</t>
        </is>
      </c>
      <c r="F107" t="inlineStr">
        <is>
          <t>—</t>
        </is>
      </c>
      <c r="G107" t="inlineStr">
        <is>
          <t>—</t>
        </is>
      </c>
      <c r="H107" t="inlineStr">
        <is>
          <t>—</t>
        </is>
      </c>
    </row>
    <row r="108">
      <c r="A108" t="n">
        <v>8</v>
      </c>
      <c r="B108" t="inlineStr">
        <is>
          <t>主题词</t>
        </is>
      </c>
      <c r="C108" t="inlineStr">
        <is>
          <t>环保督察</t>
        </is>
      </c>
      <c r="D108" t="inlineStr">
        <is>
          <t>—</t>
        </is>
      </c>
      <c r="E108" t="inlineStr">
        <is>
          <t>中央生态环境保护督察</t>
        </is>
      </c>
      <c r="F108" t="inlineStr">
        <is>
          <t>—</t>
        </is>
      </c>
      <c r="G108" t="inlineStr">
        <is>
          <t>—</t>
        </is>
      </c>
      <c r="H108" t="inlineStr">
        <is>
          <t>—</t>
        </is>
      </c>
    </row>
    <row r="109">
      <c r="A109" t="n">
        <v>9</v>
      </c>
      <c r="B109" t="inlineStr">
        <is>
          <t>主题词</t>
        </is>
      </c>
      <c r="C109" t="inlineStr">
        <is>
          <t>生态红线</t>
        </is>
      </c>
      <c r="D109" t="inlineStr">
        <is>
          <t>—</t>
        </is>
      </c>
      <c r="E109" t="inlineStr">
        <is>
          <t>生态保护红线</t>
        </is>
      </c>
      <c r="F109" t="inlineStr">
        <is>
          <t>—</t>
        </is>
      </c>
      <c r="G109" t="inlineStr">
        <is>
          <t>—</t>
        </is>
      </c>
      <c r="H109" t="inlineStr">
        <is>
          <t>—</t>
        </is>
      </c>
    </row>
    <row r="110">
      <c r="A110" t="n">
        <v>10</v>
      </c>
      <c r="B110" t="inlineStr">
        <is>
          <t>主题词</t>
        </is>
      </c>
      <c r="C110" t="inlineStr">
        <is>
          <t>生物多样性</t>
        </is>
      </c>
      <c r="D110" t="inlineStr">
        <is>
          <t>—</t>
        </is>
      </c>
      <c r="E110" t="inlineStr">
        <is>
          <t>生物多样性保护</t>
        </is>
      </c>
      <c r="F110" t="inlineStr">
        <is>
          <t>—</t>
        </is>
      </c>
      <c r="G110" t="inlineStr">
        <is>
          <t>—</t>
        </is>
      </c>
      <c r="H110" t="inlineStr">
        <is>
          <t>—</t>
        </is>
      </c>
    </row>
    <row r="111">
      <c r="A111" t="n">
        <v>11</v>
      </c>
      <c r="B111" t="inlineStr">
        <is>
          <t>主题词</t>
        </is>
      </c>
      <c r="C111" t="inlineStr">
        <is>
          <t>综合治理</t>
        </is>
      </c>
      <c r="D111" t="inlineStr">
        <is>
          <t>—</t>
        </is>
      </c>
      <c r="E111" t="inlineStr">
        <is>
          <t>生态保护、生态修复、生态环境综合治理、系统治理、环境治理</t>
        </is>
      </c>
      <c r="F111" t="inlineStr">
        <is>
          <t>—</t>
        </is>
      </c>
      <c r="G111" t="inlineStr">
        <is>
          <t>—</t>
        </is>
      </c>
      <c r="H111" t="inlineStr">
        <is>
          <t>—</t>
        </is>
      </c>
    </row>
    <row r="112">
      <c r="A112" t="n">
        <v>12</v>
      </c>
      <c r="B112" t="inlineStr">
        <is>
          <t>主题词</t>
        </is>
      </c>
      <c r="C112" t="inlineStr">
        <is>
          <t>绿水青山</t>
        </is>
      </c>
      <c r="D112" t="inlineStr">
        <is>
          <t>—</t>
        </is>
      </c>
      <c r="E112" t="inlineStr">
        <is>
          <t>绿水青山就是金山银山、两山</t>
        </is>
      </c>
      <c r="F112" t="inlineStr">
        <is>
          <t>—</t>
        </is>
      </c>
      <c r="G112" t="inlineStr">
        <is>
          <t>—</t>
        </is>
      </c>
      <c r="H112" t="inlineStr">
        <is>
          <t>—</t>
        </is>
      </c>
    </row>
    <row r="113">
      <c r="A113" t="n">
        <v>13</v>
      </c>
      <c r="B113" t="inlineStr">
        <is>
          <t>主题词</t>
        </is>
      </c>
      <c r="C113" t="inlineStr">
        <is>
          <t>绿色发展</t>
        </is>
      </c>
      <c r="D113" t="inlineStr">
        <is>
          <t>—</t>
        </is>
      </c>
      <c r="E113" t="inlineStr">
        <is>
          <t>绿色低碳、低碳发展、绿色转型、零碳蓝碳</t>
        </is>
      </c>
      <c r="F113" t="inlineStr">
        <is>
          <t>—</t>
        </is>
      </c>
      <c r="G113" t="inlineStr">
        <is>
          <t>—</t>
        </is>
      </c>
      <c r="H113" t="inlineStr">
        <is>
          <t>—</t>
        </is>
      </c>
    </row>
    <row r="114">
      <c r="A114" t="n">
        <v>14</v>
      </c>
      <c r="B114" t="inlineStr">
        <is>
          <t>主题词</t>
        </is>
      </c>
      <c r="C114" t="inlineStr">
        <is>
          <t>美丽中国</t>
        </is>
      </c>
      <c r="D114" t="inlineStr">
        <is>
          <t>—</t>
        </is>
      </c>
      <c r="E114" t="inlineStr">
        <is>
          <t>美丽中国建设、生态宜居</t>
        </is>
      </c>
      <c r="F114" t="inlineStr">
        <is>
          <t>—</t>
        </is>
      </c>
      <c r="G114" t="inlineStr">
        <is>
          <t>—</t>
        </is>
      </c>
      <c r="H114" t="inlineStr">
        <is>
          <t>—</t>
        </is>
      </c>
    </row>
    <row r="115">
      <c r="A115" t="n">
        <v>15</v>
      </c>
      <c r="B115" t="inlineStr">
        <is>
          <t>主题词</t>
        </is>
      </c>
      <c r="C115" t="inlineStr">
        <is>
          <t>资源节约</t>
        </is>
      </c>
      <c r="D115" t="inlineStr">
        <is>
          <t>—</t>
        </is>
      </c>
      <c r="E115" t="inlineStr">
        <is>
          <t>资源节约集约利用、资源可循环</t>
        </is>
      </c>
      <c r="F115" t="inlineStr">
        <is>
          <t>—</t>
        </is>
      </c>
      <c r="G115" t="inlineStr">
        <is>
          <t>—</t>
        </is>
      </c>
      <c r="H115" t="inlineStr">
        <is>
          <t>—</t>
        </is>
      </c>
    </row>
    <row r="116">
      <c r="A116" t="n">
        <v>16</v>
      </c>
      <c r="B116" t="inlineStr">
        <is>
          <t>主题词</t>
        </is>
      </c>
      <c r="C116" t="inlineStr">
        <is>
          <t>长江生态</t>
        </is>
      </c>
      <c r="D116" t="inlineStr">
        <is>
          <t>—</t>
        </is>
      </c>
      <c r="E116" t="inlineStr">
        <is>
          <t>长江经济带生态保护、长江经济带、长江大保护、长江共抓大保护</t>
        </is>
      </c>
      <c r="F116" t="inlineStr">
        <is>
          <t>—</t>
        </is>
      </c>
      <c r="G116" t="inlineStr">
        <is>
          <t>—</t>
        </is>
      </c>
      <c r="H116" t="inlineStr">
        <is>
          <t>—</t>
        </is>
      </c>
    </row>
    <row r="117">
      <c r="A117" s="3">
        <f>== 5 个公众活动主题 ===</f>
        <v/>
      </c>
      <c r="B117" s="3" t="inlineStr"/>
      <c r="C117" s="3" t="inlineStr"/>
      <c r="D117" s="3" t="inlineStr"/>
      <c r="E117" s="3" t="inlineStr"/>
      <c r="F117" s="3" t="inlineStr"/>
      <c r="G117" s="3" t="inlineStr"/>
      <c r="H117" s="3" t="inlineStr"/>
    </row>
    <row r="118">
      <c r="A118" t="n">
        <v>1</v>
      </c>
      <c r="B118" t="inlineStr">
        <is>
          <t>活动主题</t>
        </is>
      </c>
      <c r="C118" t="inlineStr">
        <is>
          <t>六五环境日</t>
        </is>
      </c>
      <c r="D118" t="inlineStr">
        <is>
          <t>—</t>
        </is>
      </c>
      <c r="E118" t="inlineStr">
        <is>
          <t>—</t>
        </is>
      </c>
      <c r="F118" t="inlineStr">
        <is>
          <t>—</t>
        </is>
      </c>
      <c r="G118" t="inlineStr">
        <is>
          <t>—</t>
        </is>
      </c>
      <c r="H118" t="inlineStr">
        <is>
          <t>—</t>
        </is>
      </c>
    </row>
    <row r="119">
      <c r="A119" t="n">
        <v>2</v>
      </c>
      <c r="B119" t="inlineStr">
        <is>
          <t>活动主题</t>
        </is>
      </c>
      <c r="C119" t="inlineStr">
        <is>
          <t>815全国生态日</t>
        </is>
      </c>
      <c r="D119" t="inlineStr">
        <is>
          <t>—</t>
        </is>
      </c>
      <c r="E119" t="inlineStr">
        <is>
          <t>—</t>
        </is>
      </c>
      <c r="F119" t="inlineStr">
        <is>
          <t>—</t>
        </is>
      </c>
      <c r="G119" t="inlineStr">
        <is>
          <t>—</t>
        </is>
      </c>
      <c r="H119" t="inlineStr">
        <is>
          <t>—</t>
        </is>
      </c>
    </row>
    <row r="120">
      <c r="A120" t="n">
        <v>3</v>
      </c>
      <c r="B120" t="inlineStr">
        <is>
          <t>活动主题</t>
        </is>
      </c>
      <c r="C120" t="inlineStr">
        <is>
          <t>志愿服务活动</t>
        </is>
      </c>
      <c r="D120" t="inlineStr">
        <is>
          <t>—</t>
        </is>
      </c>
      <c r="E120" t="inlineStr">
        <is>
          <t>—</t>
        </is>
      </c>
      <c r="F120" t="inlineStr">
        <is>
          <t>—</t>
        </is>
      </c>
      <c r="G120" t="inlineStr">
        <is>
          <t>—</t>
        </is>
      </c>
      <c r="H120" t="inlineStr">
        <is>
          <t>—</t>
        </is>
      </c>
    </row>
    <row r="121">
      <c r="A121" t="n">
        <v>4</v>
      </c>
      <c r="B121" t="inlineStr">
        <is>
          <t>活动主题</t>
        </is>
      </c>
      <c r="C121" t="inlineStr">
        <is>
          <t>环保设施向公众开放</t>
        </is>
      </c>
      <c r="D121" t="inlineStr">
        <is>
          <t>—</t>
        </is>
      </c>
      <c r="E121" t="inlineStr">
        <is>
          <t>—</t>
        </is>
      </c>
      <c r="F121" t="inlineStr">
        <is>
          <t>—</t>
        </is>
      </c>
      <c r="G121" t="inlineStr">
        <is>
          <t>—</t>
        </is>
      </c>
      <c r="H121" t="inlineStr">
        <is>
          <t>—</t>
        </is>
      </c>
    </row>
    <row r="122">
      <c r="A122" t="n">
        <v>5</v>
      </c>
      <c r="B122" t="inlineStr">
        <is>
          <t>活动主题</t>
        </is>
      </c>
      <c r="C122" t="inlineStr">
        <is>
          <t>美丽重庆六进活动</t>
        </is>
      </c>
      <c r="D122" t="inlineStr">
        <is>
          <t>—</t>
        </is>
      </c>
      <c r="E122" t="inlineStr">
        <is>
          <t>—</t>
        </is>
      </c>
      <c r="F122" t="inlineStr">
        <is>
          <t>—</t>
        </is>
      </c>
      <c r="G122" t="inlineStr">
        <is>
          <t>—</t>
        </is>
      </c>
      <c r="H122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【一、总体覆盖】</t>
        </is>
      </c>
      <c r="B1" s="2" t="inlineStr"/>
      <c r="C1" s="2" t="n"/>
      <c r="D1" s="2" t="n"/>
      <c r="E1" s="2" t="n"/>
      <c r="F1" s="2" t="n"/>
    </row>
    <row r="2">
      <c r="A2" s="2" t="inlineStr">
        <is>
          <t>旧范围 2025 items</t>
        </is>
      </c>
      <c r="B2" s="2" t="inlineStr">
        <is>
          <t>58,387</t>
        </is>
      </c>
      <c r="C2" s="2" t="n"/>
      <c r="D2" s="2" t="n"/>
      <c r="E2" s="2" t="n"/>
      <c r="F2" s="2" t="n"/>
    </row>
    <row r="3">
      <c r="A3" s="2" t="inlineStr">
        <is>
          <t>新范围 2025 items</t>
        </is>
      </c>
      <c r="B3" s="2" t="inlineStr">
        <is>
          <t>57,867</t>
        </is>
      </c>
      <c r="C3" s="2" t="n"/>
      <c r="D3" s="2" t="n"/>
      <c r="E3" s="2" t="n"/>
      <c r="F3" s="2" t="n"/>
    </row>
    <row r="4">
      <c r="A4" s="2" t="inlineStr">
        <is>
          <t>保留率</t>
        </is>
      </c>
      <c r="B4" s="2" t="inlineStr">
        <is>
          <t>99.1%</t>
        </is>
      </c>
      <c r="C4" s="2" t="n"/>
      <c r="D4" s="2" t="n"/>
      <c r="E4" s="2" t="n"/>
      <c r="F4" s="2" t="n"/>
    </row>
    <row r="5">
      <c r="A5" s="2" t="inlineStr">
        <is>
          <t>匹配单位 / 总单位</t>
        </is>
      </c>
      <c r="B5" s="2" t="inlineStr">
        <is>
          <t>94 / 94</t>
        </is>
      </c>
      <c r="C5" s="2" t="n"/>
      <c r="D5" s="2" t="n"/>
      <c r="E5" s="2" t="n"/>
      <c r="F5" s="2" t="n"/>
    </row>
    <row r="6">
      <c r="A6" s="2" t="inlineStr">
        <is>
          <t>匹配 outlet 数</t>
        </is>
      </c>
      <c r="B6" s="2" t="inlineStr">
        <is>
          <t>97</t>
        </is>
      </c>
      <c r="C6" s="2" t="n"/>
      <c r="D6" s="2" t="n"/>
      <c r="E6" s="2" t="n"/>
      <c r="F6" s="2" t="n"/>
    </row>
    <row r="7">
      <c r="A7" s="2" t="inlineStr"/>
      <c r="B7" s="2" t="inlineStr"/>
      <c r="C7" s="2" t="n"/>
      <c r="D7" s="2" t="n"/>
      <c r="E7" s="2" t="n"/>
      <c r="F7" s="2" t="n"/>
    </row>
    <row r="8">
      <c r="A8" s="1" t="inlineStr">
        <is>
          <t>【二、按 5 一级 tier 分布】</t>
        </is>
      </c>
      <c r="B8" s="2" t="inlineStr"/>
      <c r="C8" s="2" t="n"/>
      <c r="D8" s="2" t="n"/>
      <c r="E8" s="2" t="n"/>
      <c r="F8" s="2" t="n"/>
    </row>
    <row r="9">
      <c r="A9" s="4" t="inlineStr">
        <is>
          <t>tier</t>
        </is>
      </c>
      <c r="B9" s="4" t="inlineStr">
        <is>
          <t>匹配单位</t>
        </is>
      </c>
      <c r="C9" s="4" t="inlineStr">
        <is>
          <t>匹配 outlet</t>
        </is>
      </c>
      <c r="D9" s="4" t="inlineStr">
        <is>
          <t>2025 items</t>
        </is>
      </c>
      <c r="E9" s="4" t="n"/>
      <c r="F9" s="4" t="n"/>
    </row>
    <row r="10">
      <c r="A10" s="2" t="inlineStr">
        <is>
          <t>中央 (45%)</t>
        </is>
      </c>
      <c r="B10" s="2" t="inlineStr">
        <is>
          <t>4/4</t>
        </is>
      </c>
      <c r="C10" s="2" t="n">
        <v>5</v>
      </c>
      <c r="D10" s="2" t="inlineStr">
        <is>
          <t>37,697</t>
        </is>
      </c>
      <c r="E10" s="2" t="n"/>
      <c r="F10" s="2" t="n"/>
    </row>
    <row r="11">
      <c r="A11" s="2" t="inlineStr">
        <is>
          <t>行业 (25%)</t>
        </is>
      </c>
      <c r="B11" s="2" t="inlineStr">
        <is>
          <t>2/2</t>
        </is>
      </c>
      <c r="C11" s="2" t="n">
        <v>2</v>
      </c>
      <c r="D11" s="2" t="inlineStr">
        <is>
          <t>1,149</t>
        </is>
      </c>
      <c r="E11" s="2" t="n"/>
      <c r="F11" s="2" t="n"/>
    </row>
    <row r="12">
      <c r="A12" s="2" t="inlineStr">
        <is>
          <t>市级 (15%)</t>
        </is>
      </c>
      <c r="B12" s="2" t="inlineStr">
        <is>
          <t>6/6</t>
        </is>
      </c>
      <c r="C12" s="2" t="n">
        <v>7</v>
      </c>
      <c r="D12" s="2" t="inlineStr">
        <is>
          <t>14,077</t>
        </is>
      </c>
      <c r="E12" s="2" t="n"/>
      <c r="F12" s="2" t="n"/>
    </row>
    <row r="13">
      <c r="A13" s="2" t="inlineStr">
        <is>
          <t>区县 (8%)</t>
        </is>
      </c>
      <c r="B13" s="2" t="inlineStr">
        <is>
          <t>82/82</t>
        </is>
      </c>
      <c r="C13" s="2" t="n">
        <v>84</v>
      </c>
      <c r="D13" s="2" t="inlineStr">
        <is>
          <t>4,944</t>
        </is>
      </c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1" t="inlineStr">
        <is>
          <t>【三、按 39 区县分布(区县融媒 + 政务)】</t>
        </is>
      </c>
      <c r="B15" s="2" t="inlineStr"/>
      <c r="C15" s="2" t="n"/>
      <c r="D15" s="2" t="n"/>
      <c r="E15" s="2" t="n"/>
      <c r="F15" s="2" t="n"/>
    </row>
    <row r="16">
      <c r="A16" s="4" t="inlineStr">
        <is>
          <t>区县</t>
        </is>
      </c>
      <c r="B16" s="4" t="inlineStr">
        <is>
          <t>融媒数</t>
        </is>
      </c>
      <c r="C16" s="4" t="inlineStr">
        <is>
          <t>融媒 items</t>
        </is>
      </c>
      <c r="D16" s="4" t="inlineStr">
        <is>
          <t>政务数</t>
        </is>
      </c>
      <c r="E16" s="4" t="inlineStr">
        <is>
          <t>政务 items</t>
        </is>
      </c>
      <c r="F16" s="4" t="inlineStr">
        <is>
          <t>区县合计</t>
        </is>
      </c>
    </row>
    <row r="17">
      <c r="A17" s="2" t="inlineStr">
        <is>
          <t>万州区</t>
        </is>
      </c>
      <c r="B17" s="2" t="n">
        <v>1</v>
      </c>
      <c r="C17" s="2" t="n">
        <v>36</v>
      </c>
      <c r="D17" s="2" t="n">
        <v>1</v>
      </c>
      <c r="E17" s="2" t="n">
        <v>0</v>
      </c>
      <c r="F17" s="2" t="n">
        <v>36</v>
      </c>
    </row>
    <row r="18">
      <c r="A18" s="2" t="inlineStr">
        <is>
          <t>万盛经开区</t>
        </is>
      </c>
      <c r="B18" s="2" t="n">
        <v>1</v>
      </c>
      <c r="C18" s="2" t="n">
        <v>167</v>
      </c>
      <c r="D18" s="2" t="n">
        <v>1</v>
      </c>
      <c r="E18" s="2" t="n">
        <v>0</v>
      </c>
      <c r="F18" s="2" t="n">
        <v>167</v>
      </c>
    </row>
    <row r="19">
      <c r="A19" s="2" t="inlineStr">
        <is>
          <t>两江新区</t>
        </is>
      </c>
      <c r="B19" s="2" t="n">
        <v>3</v>
      </c>
      <c r="C19" s="2" t="n">
        <v>176</v>
      </c>
      <c r="D19" s="2" t="n">
        <v>2</v>
      </c>
      <c r="E19" s="2" t="n">
        <v>0</v>
      </c>
      <c r="F19" s="2" t="n">
        <v>176</v>
      </c>
    </row>
    <row r="20">
      <c r="A20" s="2" t="inlineStr">
        <is>
          <t>丰都县</t>
        </is>
      </c>
      <c r="B20" s="2" t="n">
        <v>1</v>
      </c>
      <c r="C20" s="2" t="n">
        <v>66</v>
      </c>
      <c r="D20" s="2" t="n">
        <v>1</v>
      </c>
      <c r="E20" s="2" t="n">
        <v>0</v>
      </c>
      <c r="F20" s="2" t="n">
        <v>66</v>
      </c>
    </row>
    <row r="21">
      <c r="A21" s="2" t="inlineStr">
        <is>
          <t>九龙坡区</t>
        </is>
      </c>
      <c r="B21" s="2" t="n">
        <v>1</v>
      </c>
      <c r="C21" s="2" t="n">
        <v>164</v>
      </c>
      <c r="D21" s="2" t="n">
        <v>1</v>
      </c>
      <c r="E21" s="2" t="n">
        <v>0</v>
      </c>
      <c r="F21" s="2" t="n">
        <v>164</v>
      </c>
    </row>
    <row r="22">
      <c r="A22" s="2" t="inlineStr">
        <is>
          <t>云阳县</t>
        </is>
      </c>
      <c r="B22" s="2" t="n">
        <v>1</v>
      </c>
      <c r="C22" s="2" t="n">
        <v>125</v>
      </c>
      <c r="D22" s="2" t="n">
        <v>1</v>
      </c>
      <c r="E22" s="2" t="n">
        <v>0</v>
      </c>
      <c r="F22" s="2" t="n">
        <v>125</v>
      </c>
    </row>
    <row r="23">
      <c r="A23" s="2" t="inlineStr">
        <is>
          <t>北碚区</t>
        </is>
      </c>
      <c r="B23" s="2" t="n">
        <v>1</v>
      </c>
      <c r="C23" s="2" t="n">
        <v>110</v>
      </c>
      <c r="D23" s="2" t="n">
        <v>1</v>
      </c>
      <c r="E23" s="2" t="n">
        <v>0</v>
      </c>
      <c r="F23" s="2" t="n">
        <v>110</v>
      </c>
    </row>
    <row r="24">
      <c r="A24" s="2" t="inlineStr">
        <is>
          <t>南岸区</t>
        </is>
      </c>
      <c r="B24" s="2" t="n">
        <v>1</v>
      </c>
      <c r="C24" s="2" t="n">
        <v>101</v>
      </c>
      <c r="D24" s="2" t="n">
        <v>1</v>
      </c>
      <c r="E24" s="2" t="n">
        <v>0</v>
      </c>
      <c r="F24" s="2" t="n">
        <v>101</v>
      </c>
    </row>
    <row r="25">
      <c r="A25" s="2" t="inlineStr">
        <is>
          <t>南川区</t>
        </is>
      </c>
      <c r="B25" s="2" t="n">
        <v>1</v>
      </c>
      <c r="C25" s="2" t="n">
        <v>81</v>
      </c>
      <c r="D25" s="2" t="n">
        <v>1</v>
      </c>
      <c r="E25" s="2" t="n">
        <v>0</v>
      </c>
      <c r="F25" s="2" t="n">
        <v>81</v>
      </c>
    </row>
    <row r="26">
      <c r="A26" s="2" t="inlineStr">
        <is>
          <t>合川区</t>
        </is>
      </c>
      <c r="B26" s="2" t="n">
        <v>1</v>
      </c>
      <c r="C26" s="2" t="n">
        <v>150</v>
      </c>
      <c r="D26" s="2" t="n">
        <v>1</v>
      </c>
      <c r="E26" s="2" t="n">
        <v>0</v>
      </c>
      <c r="F26" s="2" t="n">
        <v>150</v>
      </c>
    </row>
    <row r="27">
      <c r="A27" s="2" t="inlineStr">
        <is>
          <t>垫江县</t>
        </is>
      </c>
      <c r="B27" s="2" t="n">
        <v>1</v>
      </c>
      <c r="C27" s="2" t="n">
        <v>159</v>
      </c>
      <c r="D27" s="2" t="n">
        <v>1</v>
      </c>
      <c r="E27" s="2" t="n">
        <v>0</v>
      </c>
      <c r="F27" s="2" t="n">
        <v>159</v>
      </c>
    </row>
    <row r="28">
      <c r="A28" s="2" t="inlineStr">
        <is>
          <t>城口县</t>
        </is>
      </c>
      <c r="B28" s="2" t="n">
        <v>1</v>
      </c>
      <c r="C28" s="2" t="n">
        <v>225</v>
      </c>
      <c r="D28" s="2" t="n">
        <v>1</v>
      </c>
      <c r="E28" s="2" t="n">
        <v>0</v>
      </c>
      <c r="F28" s="2" t="n">
        <v>225</v>
      </c>
    </row>
    <row r="29">
      <c r="A29" s="2" t="inlineStr">
        <is>
          <t>大渡口区</t>
        </is>
      </c>
      <c r="B29" s="2" t="n">
        <v>1</v>
      </c>
      <c r="C29" s="2" t="n">
        <v>120</v>
      </c>
      <c r="D29" s="2" t="n">
        <v>1</v>
      </c>
      <c r="E29" s="2" t="n">
        <v>0</v>
      </c>
      <c r="F29" s="2" t="n">
        <v>120</v>
      </c>
    </row>
    <row r="30">
      <c r="A30" s="2" t="inlineStr">
        <is>
          <t>大足区</t>
        </is>
      </c>
      <c r="B30" s="2" t="n">
        <v>1</v>
      </c>
      <c r="C30" s="2" t="n">
        <v>101</v>
      </c>
      <c r="D30" s="2" t="n">
        <v>1</v>
      </c>
      <c r="E30" s="2" t="n">
        <v>0</v>
      </c>
      <c r="F30" s="2" t="n">
        <v>101</v>
      </c>
    </row>
    <row r="31">
      <c r="A31" s="2" t="inlineStr">
        <is>
          <t>奉节县</t>
        </is>
      </c>
      <c r="B31" s="2" t="n">
        <v>1</v>
      </c>
      <c r="C31" s="2" t="n">
        <v>166</v>
      </c>
      <c r="D31" s="2" t="n">
        <v>1</v>
      </c>
      <c r="E31" s="2" t="n">
        <v>0</v>
      </c>
      <c r="F31" s="2" t="n">
        <v>166</v>
      </c>
    </row>
    <row r="32">
      <c r="A32" s="2" t="inlineStr">
        <is>
          <t>巫山县</t>
        </is>
      </c>
      <c r="B32" s="2" t="n">
        <v>1</v>
      </c>
      <c r="C32" s="2" t="n">
        <v>162</v>
      </c>
      <c r="D32" s="2" t="n">
        <v>1</v>
      </c>
      <c r="E32" s="2" t="n">
        <v>0</v>
      </c>
      <c r="F32" s="2" t="n">
        <v>162</v>
      </c>
    </row>
    <row r="33">
      <c r="A33" s="2" t="inlineStr">
        <is>
          <t>巫溪县</t>
        </is>
      </c>
      <c r="B33" s="2" t="n">
        <v>1</v>
      </c>
      <c r="C33" s="2" t="n">
        <v>235</v>
      </c>
      <c r="D33" s="2" t="n">
        <v>1</v>
      </c>
      <c r="E33" s="2" t="n">
        <v>0</v>
      </c>
      <c r="F33" s="2" t="n">
        <v>235</v>
      </c>
    </row>
    <row r="34">
      <c r="A34" s="2" t="inlineStr">
        <is>
          <t>巴南区</t>
        </is>
      </c>
      <c r="B34" s="2" t="n">
        <v>1</v>
      </c>
      <c r="C34" s="2" t="n">
        <v>57</v>
      </c>
      <c r="D34" s="2" t="n">
        <v>1</v>
      </c>
      <c r="E34" s="2" t="n">
        <v>0</v>
      </c>
      <c r="F34" s="2" t="n">
        <v>57</v>
      </c>
    </row>
    <row r="35">
      <c r="A35" s="2" t="inlineStr">
        <is>
          <t>开州区</t>
        </is>
      </c>
      <c r="B35" s="2" t="n">
        <v>1</v>
      </c>
      <c r="C35" s="2" t="n">
        <v>16</v>
      </c>
      <c r="D35" s="2" t="n">
        <v>1</v>
      </c>
      <c r="E35" s="2" t="n">
        <v>0</v>
      </c>
      <c r="F35" s="2" t="n">
        <v>16</v>
      </c>
    </row>
    <row r="36">
      <c r="A36" s="2" t="inlineStr">
        <is>
          <t>彭水县</t>
        </is>
      </c>
      <c r="B36" s="2" t="n">
        <v>1</v>
      </c>
      <c r="C36" s="2" t="n">
        <v>163</v>
      </c>
      <c r="D36" s="2" t="n">
        <v>1</v>
      </c>
      <c r="E36" s="2" t="n">
        <v>0</v>
      </c>
      <c r="F36" s="2" t="n">
        <v>163</v>
      </c>
    </row>
    <row r="37">
      <c r="A37" s="2" t="inlineStr">
        <is>
          <t>忠县</t>
        </is>
      </c>
      <c r="B37" s="2" t="n">
        <v>1</v>
      </c>
      <c r="C37" s="2" t="n">
        <v>90</v>
      </c>
      <c r="D37" s="2" t="n">
        <v>1</v>
      </c>
      <c r="E37" s="2" t="n">
        <v>0</v>
      </c>
      <c r="F37" s="2" t="n">
        <v>90</v>
      </c>
    </row>
    <row r="38">
      <c r="A38" s="2" t="inlineStr">
        <is>
          <t>梁平区</t>
        </is>
      </c>
      <c r="B38" s="2" t="n">
        <v>1</v>
      </c>
      <c r="C38" s="2" t="n">
        <v>52</v>
      </c>
      <c r="D38" s="2" t="n">
        <v>1</v>
      </c>
      <c r="E38" s="2" t="n">
        <v>0</v>
      </c>
      <c r="F38" s="2" t="n">
        <v>52</v>
      </c>
    </row>
    <row r="39">
      <c r="A39" s="2" t="inlineStr">
        <is>
          <t>武隆区</t>
        </is>
      </c>
      <c r="B39" s="2" t="n">
        <v>1</v>
      </c>
      <c r="C39" s="2" t="n">
        <v>159</v>
      </c>
      <c r="D39" s="2" t="n">
        <v>1</v>
      </c>
      <c r="E39" s="2" t="n">
        <v>0</v>
      </c>
      <c r="F39" s="2" t="n">
        <v>159</v>
      </c>
    </row>
    <row r="40">
      <c r="A40" s="2" t="inlineStr">
        <is>
          <t>永川区</t>
        </is>
      </c>
      <c r="B40" s="2" t="n">
        <v>1</v>
      </c>
      <c r="C40" s="2" t="n">
        <v>87</v>
      </c>
      <c r="D40" s="2" t="n">
        <v>1</v>
      </c>
      <c r="E40" s="2" t="n">
        <v>0</v>
      </c>
      <c r="F40" s="2" t="n">
        <v>87</v>
      </c>
    </row>
    <row r="41">
      <c r="A41" s="2" t="inlineStr">
        <is>
          <t>江津区</t>
        </is>
      </c>
      <c r="B41" s="2" t="n">
        <v>1</v>
      </c>
      <c r="C41" s="2" t="n">
        <v>137</v>
      </c>
      <c r="D41" s="2" t="n">
        <v>1</v>
      </c>
      <c r="E41" s="2" t="n">
        <v>0</v>
      </c>
      <c r="F41" s="2" t="n">
        <v>137</v>
      </c>
    </row>
    <row r="42">
      <c r="A42" s="2" t="inlineStr">
        <is>
          <t>沙坪坝区</t>
        </is>
      </c>
      <c r="B42" s="2" t="n">
        <v>1</v>
      </c>
      <c r="C42" s="2" t="n">
        <v>82</v>
      </c>
      <c r="D42" s="2" t="n">
        <v>1</v>
      </c>
      <c r="E42" s="2" t="n">
        <v>0</v>
      </c>
      <c r="F42" s="2" t="n">
        <v>82</v>
      </c>
    </row>
    <row r="43">
      <c r="A43" s="2" t="inlineStr">
        <is>
          <t>涪陵区</t>
        </is>
      </c>
      <c r="B43" s="2" t="n">
        <v>1</v>
      </c>
      <c r="C43" s="2" t="n">
        <v>193</v>
      </c>
      <c r="D43" s="2" t="n">
        <v>1</v>
      </c>
      <c r="E43" s="2" t="n">
        <v>0</v>
      </c>
      <c r="F43" s="2" t="n">
        <v>193</v>
      </c>
    </row>
    <row r="44">
      <c r="A44" s="2" t="inlineStr">
        <is>
          <t>渝中区</t>
        </is>
      </c>
      <c r="B44" s="2" t="n">
        <v>1</v>
      </c>
      <c r="C44" s="2" t="n">
        <v>173</v>
      </c>
      <c r="D44" s="2" t="n">
        <v>1</v>
      </c>
      <c r="E44" s="2" t="n">
        <v>0</v>
      </c>
      <c r="F44" s="2" t="n">
        <v>173</v>
      </c>
    </row>
    <row r="45">
      <c r="A45" s="2" t="inlineStr">
        <is>
          <t>潼南区</t>
        </is>
      </c>
      <c r="B45" s="2" t="n">
        <v>1</v>
      </c>
      <c r="C45" s="2" t="n">
        <v>52</v>
      </c>
      <c r="D45" s="2" t="n">
        <v>1</v>
      </c>
      <c r="E45" s="2" t="n">
        <v>0</v>
      </c>
      <c r="F45" s="2" t="n">
        <v>52</v>
      </c>
    </row>
    <row r="46">
      <c r="A46" s="2" t="inlineStr">
        <is>
          <t>璧山区</t>
        </is>
      </c>
      <c r="B46" s="2" t="n">
        <v>1</v>
      </c>
      <c r="C46" s="2" t="n">
        <v>140</v>
      </c>
      <c r="D46" s="2" t="n">
        <v>1</v>
      </c>
      <c r="E46" s="2" t="n">
        <v>0</v>
      </c>
      <c r="F46" s="2" t="n">
        <v>140</v>
      </c>
    </row>
    <row r="47">
      <c r="A47" s="2" t="inlineStr">
        <is>
          <t>石柱县</t>
        </is>
      </c>
      <c r="B47" s="2" t="n">
        <v>1</v>
      </c>
      <c r="C47" s="2" t="n">
        <v>183</v>
      </c>
      <c r="D47" s="2" t="n">
        <v>1</v>
      </c>
      <c r="E47" s="2" t="n">
        <v>0</v>
      </c>
      <c r="F47" s="2" t="n">
        <v>183</v>
      </c>
    </row>
    <row r="48">
      <c r="A48" s="2" t="inlineStr">
        <is>
          <t>秀山县</t>
        </is>
      </c>
      <c r="B48" s="2" t="n">
        <v>1</v>
      </c>
      <c r="C48" s="2" t="n">
        <v>76</v>
      </c>
      <c r="D48" s="2" t="n">
        <v>1</v>
      </c>
      <c r="E48" s="2" t="n">
        <v>0</v>
      </c>
      <c r="F48" s="2" t="n">
        <v>76</v>
      </c>
    </row>
    <row r="49">
      <c r="A49" s="2" t="inlineStr">
        <is>
          <t>科学城重庆高新区</t>
        </is>
      </c>
      <c r="B49" s="2" t="n">
        <v>1</v>
      </c>
      <c r="C49" s="2" t="n">
        <v>354</v>
      </c>
      <c r="D49" s="2" t="n">
        <v>1</v>
      </c>
      <c r="E49" s="2" t="n">
        <v>0</v>
      </c>
      <c r="F49" s="2" t="n">
        <v>354</v>
      </c>
    </row>
    <row r="50">
      <c r="A50" s="2" t="inlineStr">
        <is>
          <t>綦江区</t>
        </is>
      </c>
      <c r="B50" s="2" t="n">
        <v>1</v>
      </c>
      <c r="C50" s="2" t="n">
        <v>100</v>
      </c>
      <c r="D50" s="2" t="n">
        <v>1</v>
      </c>
      <c r="E50" s="2" t="n">
        <v>0</v>
      </c>
      <c r="F50" s="2" t="n">
        <v>100</v>
      </c>
    </row>
    <row r="51">
      <c r="A51" s="2" t="inlineStr">
        <is>
          <t>荣昌区</t>
        </is>
      </c>
      <c r="B51" s="2" t="n">
        <v>1</v>
      </c>
      <c r="C51" s="2" t="n">
        <v>52</v>
      </c>
      <c r="D51" s="2" t="n">
        <v>1</v>
      </c>
      <c r="E51" s="2" t="n">
        <v>0</v>
      </c>
      <c r="F51" s="2" t="n">
        <v>52</v>
      </c>
    </row>
    <row r="52">
      <c r="A52" s="2" t="inlineStr">
        <is>
          <t>酉阳县</t>
        </is>
      </c>
      <c r="B52" s="2" t="n">
        <v>1</v>
      </c>
      <c r="C52" s="2" t="n">
        <v>156</v>
      </c>
      <c r="D52" s="2" t="n">
        <v>1</v>
      </c>
      <c r="E52" s="2" t="n">
        <v>0</v>
      </c>
      <c r="F52" s="2" t="n">
        <v>156</v>
      </c>
    </row>
    <row r="53">
      <c r="A53" s="2" t="inlineStr">
        <is>
          <t>铜梁区</t>
        </is>
      </c>
      <c r="B53" s="2" t="n">
        <v>1</v>
      </c>
      <c r="C53" s="2" t="n">
        <v>63</v>
      </c>
      <c r="D53" s="2" t="n">
        <v>1</v>
      </c>
      <c r="E53" s="2" t="n">
        <v>0</v>
      </c>
      <c r="F53" s="2" t="n">
        <v>63</v>
      </c>
    </row>
    <row r="54">
      <c r="A54" s="2" t="inlineStr">
        <is>
          <t>长寿区</t>
        </is>
      </c>
      <c r="B54" s="2" t="n">
        <v>1</v>
      </c>
      <c r="C54" s="2" t="n">
        <v>108</v>
      </c>
      <c r="D54" s="2" t="n">
        <v>1</v>
      </c>
      <c r="E54" s="2" t="n">
        <v>0</v>
      </c>
      <c r="F54" s="2" t="n">
        <v>108</v>
      </c>
    </row>
    <row r="55">
      <c r="A55" s="2" t="inlineStr">
        <is>
          <t>黔江区</t>
        </is>
      </c>
      <c r="B55" s="2" t="n">
        <v>1</v>
      </c>
      <c r="C55" s="2" t="n">
        <v>107</v>
      </c>
      <c r="D55" s="2" t="n">
        <v>1</v>
      </c>
      <c r="E55" s="2" t="n">
        <v>0</v>
      </c>
      <c r="F55" s="2" t="n">
        <v>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8" customWidth="1" min="20" max="20"/>
  </cols>
  <sheetData>
    <row r="1">
      <c r="A1" s="5" t="inlineStr">
        <is>
          <t>衡量指标</t>
        </is>
      </c>
      <c r="B1" s="6" t="inlineStr">
        <is>
          <t>中央媒体-报道数量</t>
        </is>
      </c>
    </row>
    <row r="2">
      <c r="A2" s="5" t="inlineStr">
        <is>
          <t>一级权重</t>
        </is>
      </c>
      <c r="B2" s="6" t="inlineStr">
        <is>
          <t>45%</t>
        </is>
      </c>
    </row>
    <row r="3">
      <c r="A3" s="5" t="inlineStr">
        <is>
          <t>二级权重</t>
        </is>
      </c>
      <c r="B3" s="6" t="inlineStr">
        <is>
          <t>40%</t>
        </is>
      </c>
    </row>
    <row r="4">
      <c r="A4" s="5" t="inlineStr">
        <is>
          <t>数据源</t>
        </is>
      </c>
      <c r="B4" s="6" t="inlineStr">
        <is>
          <t>已严格收敛: 央视/人民/光明/新华 4 家</t>
        </is>
      </c>
    </row>
    <row r="5">
      <c r="A5" s="5" t="inlineStr">
        <is>
          <t>过滤条件</t>
        </is>
      </c>
      <c r="B5" s="6" t="inlineStr">
        <is>
          <t>organization_id ; published_at ∈ [2025-01-01, 2026-01-01) ; 有 outlet_id</t>
        </is>
      </c>
    </row>
    <row r="6">
      <c r="A6" s="5" t="inlineStr">
        <is>
          <t>原始值</t>
        </is>
      </c>
      <c r="B6" s="6" t="inlineStr">
        <is>
          <t>COUNT(DISTINCT collected_item_id) per (区县, tier) ; 按 16 主题分桶各显示命中数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按报道总数降序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</t>
        </is>
      </c>
      <c r="D10" s="7" t="inlineStr">
        <is>
          <t>制度建设</t>
        </is>
      </c>
      <c r="E10" s="7" t="inlineStr">
        <is>
          <t>双碳</t>
        </is>
      </c>
      <c r="F10" s="7" t="inlineStr">
        <is>
          <t>和谐共生</t>
        </is>
      </c>
      <c r="G10" s="7" t="inlineStr">
        <is>
          <t>国家公园</t>
        </is>
      </c>
      <c r="H10" s="7" t="inlineStr">
        <is>
          <t>污染防治攻坚战</t>
        </is>
      </c>
      <c r="I10" s="7" t="inlineStr">
        <is>
          <t>清洁能源</t>
        </is>
      </c>
      <c r="J10" s="7" t="inlineStr">
        <is>
          <t>环保督察</t>
        </is>
      </c>
      <c r="K10" s="7" t="inlineStr">
        <is>
          <t>生态红线</t>
        </is>
      </c>
      <c r="L10" s="7" t="inlineStr">
        <is>
          <t>生物多样性</t>
        </is>
      </c>
      <c r="M10" s="7" t="inlineStr">
        <is>
          <t>综合治理</t>
        </is>
      </c>
      <c r="N10" s="7" t="inlineStr">
        <is>
          <t>绿水青山</t>
        </is>
      </c>
      <c r="O10" s="7" t="inlineStr">
        <is>
          <t>绿色发展</t>
        </is>
      </c>
      <c r="P10" s="7" t="inlineStr">
        <is>
          <t>美丽中国</t>
        </is>
      </c>
      <c r="Q10" s="7" t="inlineStr">
        <is>
          <t>资源节约</t>
        </is>
      </c>
      <c r="R10" s="7" t="inlineStr">
        <is>
          <t>长江生态</t>
        </is>
      </c>
      <c r="S10" s="7" t="inlineStr">
        <is>
          <t>报道总数 (原始)</t>
        </is>
      </c>
      <c r="T10" s="7" t="inlineStr">
        <is>
          <t>数量得分 (65-95)</t>
        </is>
      </c>
    </row>
    <row r="11">
      <c r="A11" s="8" t="n">
        <v>1</v>
      </c>
      <c r="B11" s="8" t="inlineStr">
        <is>
          <t>长寿区</t>
        </is>
      </c>
      <c r="C11" s="8" t="n">
        <v>2</v>
      </c>
      <c r="D11" s="8" t="n">
        <v>30</v>
      </c>
      <c r="E11" s="8" t="n">
        <v>40</v>
      </c>
      <c r="F11" s="8" t="n">
        <v>36</v>
      </c>
      <c r="G11" s="8" t="n">
        <v>17</v>
      </c>
      <c r="H11" s="8" t="n">
        <v>34</v>
      </c>
      <c r="I11" s="8" t="n">
        <v>43</v>
      </c>
      <c r="J11" s="8" t="n">
        <v>4</v>
      </c>
      <c r="K11" s="8" t="n">
        <v>3</v>
      </c>
      <c r="L11" s="8" t="n">
        <v>18</v>
      </c>
      <c r="M11" s="8" t="n">
        <v>62</v>
      </c>
      <c r="N11" s="8" t="n">
        <v>65</v>
      </c>
      <c r="O11" s="8" t="n">
        <v>84</v>
      </c>
      <c r="P11" s="8" t="n">
        <v>20</v>
      </c>
      <c r="Q11" s="8" t="n">
        <v>5</v>
      </c>
      <c r="R11" s="8" t="n">
        <v>28</v>
      </c>
      <c r="S11" s="8" t="n">
        <v>217</v>
      </c>
      <c r="T11" s="8" t="n">
        <v>95</v>
      </c>
    </row>
    <row r="12">
      <c r="A12" s="9" t="n">
        <v>2</v>
      </c>
      <c r="B12" s="9" t="inlineStr">
        <is>
          <t>南岸区</t>
        </is>
      </c>
      <c r="C12" s="9" t="n">
        <v>1</v>
      </c>
      <c r="D12" s="9" t="n">
        <v>23</v>
      </c>
      <c r="E12" s="9" t="n">
        <v>12</v>
      </c>
      <c r="F12" s="9" t="n">
        <v>32</v>
      </c>
      <c r="G12" s="9" t="n">
        <v>11</v>
      </c>
      <c r="H12" s="9" t="n">
        <v>48</v>
      </c>
      <c r="I12" s="9" t="n">
        <v>30</v>
      </c>
      <c r="J12" s="9" t="n">
        <v>3</v>
      </c>
      <c r="K12" s="9" t="n">
        <v>13</v>
      </c>
      <c r="L12" s="9" t="n">
        <v>19</v>
      </c>
      <c r="M12" s="9" t="n">
        <v>105</v>
      </c>
      <c r="N12" s="9" t="n">
        <v>49</v>
      </c>
      <c r="O12" s="9" t="n">
        <v>90</v>
      </c>
      <c r="P12" s="9" t="n">
        <v>28</v>
      </c>
      <c r="Q12" s="9" t="n">
        <v>1</v>
      </c>
      <c r="R12" s="9" t="n">
        <v>18</v>
      </c>
      <c r="S12" s="9" t="n">
        <v>197</v>
      </c>
      <c r="T12" s="9" t="n">
        <v>91.81</v>
      </c>
    </row>
    <row r="13">
      <c r="A13" s="8" t="n">
        <v>3</v>
      </c>
      <c r="B13" s="8" t="inlineStr">
        <is>
          <t>涪陵区</t>
        </is>
      </c>
      <c r="C13" s="8" t="n">
        <v>2</v>
      </c>
      <c r="D13" s="8" t="n">
        <v>11</v>
      </c>
      <c r="E13" s="8" t="n">
        <v>9</v>
      </c>
      <c r="F13" s="8" t="n">
        <v>8</v>
      </c>
      <c r="G13" s="8" t="n">
        <v>9</v>
      </c>
      <c r="H13" s="8" t="n">
        <v>16</v>
      </c>
      <c r="I13" s="8" t="n">
        <v>65</v>
      </c>
      <c r="J13" s="8" t="n">
        <v>5</v>
      </c>
      <c r="K13" s="8" t="n">
        <v>2</v>
      </c>
      <c r="L13" s="8" t="n">
        <v>13</v>
      </c>
      <c r="M13" s="8" t="n">
        <v>58</v>
      </c>
      <c r="N13" s="8" t="n">
        <v>25</v>
      </c>
      <c r="O13" s="8" t="n">
        <v>44</v>
      </c>
      <c r="P13" s="8" t="n">
        <v>12</v>
      </c>
      <c r="Q13" s="8" t="n">
        <v>4</v>
      </c>
      <c r="R13" s="8" t="n">
        <v>97</v>
      </c>
      <c r="S13" s="8" t="n">
        <v>195</v>
      </c>
      <c r="T13" s="8" t="n">
        <v>91.48999999999999</v>
      </c>
    </row>
    <row r="14">
      <c r="A14" s="9" t="n">
        <v>4</v>
      </c>
      <c r="B14" s="9" t="inlineStr">
        <is>
          <t>两江新区</t>
        </is>
      </c>
      <c r="C14" s="9" t="n">
        <v>11</v>
      </c>
      <c r="D14" s="9" t="n">
        <v>36</v>
      </c>
      <c r="E14" s="9" t="n">
        <v>20</v>
      </c>
      <c r="F14" s="9" t="n">
        <v>30</v>
      </c>
      <c r="G14" s="9" t="n">
        <v>0</v>
      </c>
      <c r="H14" s="9" t="n">
        <v>26</v>
      </c>
      <c r="I14" s="9" t="n">
        <v>51</v>
      </c>
      <c r="J14" s="9" t="n">
        <v>4</v>
      </c>
      <c r="K14" s="9" t="n">
        <v>2</v>
      </c>
      <c r="L14" s="9" t="n">
        <v>11</v>
      </c>
      <c r="M14" s="9" t="n">
        <v>45</v>
      </c>
      <c r="N14" s="9" t="n">
        <v>30</v>
      </c>
      <c r="O14" s="9" t="n">
        <v>91</v>
      </c>
      <c r="P14" s="9" t="n">
        <v>21</v>
      </c>
      <c r="Q14" s="9" t="n">
        <v>1</v>
      </c>
      <c r="R14" s="9" t="n">
        <v>25</v>
      </c>
      <c r="S14" s="9" t="n">
        <v>192</v>
      </c>
      <c r="T14" s="9" t="n">
        <v>91.01000000000001</v>
      </c>
    </row>
    <row r="15">
      <c r="A15" s="8" t="n">
        <v>5</v>
      </c>
      <c r="B15" s="8" t="inlineStr">
        <is>
          <t>渝中区</t>
        </is>
      </c>
      <c r="C15" s="8" t="n">
        <v>5</v>
      </c>
      <c r="D15" s="8" t="n">
        <v>10</v>
      </c>
      <c r="E15" s="8" t="n">
        <v>9</v>
      </c>
      <c r="F15" s="8" t="n">
        <v>13</v>
      </c>
      <c r="G15" s="8" t="n">
        <v>7</v>
      </c>
      <c r="H15" s="8" t="n">
        <v>7</v>
      </c>
      <c r="I15" s="8" t="n">
        <v>33</v>
      </c>
      <c r="J15" s="8" t="n">
        <v>2</v>
      </c>
      <c r="K15" s="8" t="n">
        <v>11</v>
      </c>
      <c r="L15" s="8" t="n">
        <v>12</v>
      </c>
      <c r="M15" s="8" t="n">
        <v>43</v>
      </c>
      <c r="N15" s="8" t="n">
        <v>22</v>
      </c>
      <c r="O15" s="8" t="n">
        <v>63</v>
      </c>
      <c r="P15" s="8" t="n">
        <v>11</v>
      </c>
      <c r="Q15" s="8" t="n">
        <v>1</v>
      </c>
      <c r="R15" s="8" t="n">
        <v>48</v>
      </c>
      <c r="S15" s="8" t="n">
        <v>148</v>
      </c>
      <c r="T15" s="8" t="n">
        <v>83.98999999999999</v>
      </c>
    </row>
    <row r="16">
      <c r="A16" s="9" t="n">
        <v>6</v>
      </c>
      <c r="B16" s="9" t="inlineStr">
        <is>
          <t>南川区</t>
        </is>
      </c>
      <c r="C16" s="9" t="n">
        <v>1</v>
      </c>
      <c r="D16" s="9" t="n">
        <v>31</v>
      </c>
      <c r="E16" s="9" t="n">
        <v>13</v>
      </c>
      <c r="F16" s="9" t="n">
        <v>19</v>
      </c>
      <c r="G16" s="9" t="n">
        <v>15</v>
      </c>
      <c r="H16" s="9" t="n">
        <v>15</v>
      </c>
      <c r="I16" s="9" t="n">
        <v>58</v>
      </c>
      <c r="J16" s="9" t="n">
        <v>0</v>
      </c>
      <c r="K16" s="9" t="n">
        <v>11</v>
      </c>
      <c r="L16" s="9" t="n">
        <v>23</v>
      </c>
      <c r="M16" s="9" t="n">
        <v>55</v>
      </c>
      <c r="N16" s="9" t="n">
        <v>52</v>
      </c>
      <c r="O16" s="9" t="n">
        <v>51</v>
      </c>
      <c r="P16" s="9" t="n">
        <v>16</v>
      </c>
      <c r="Q16" s="9" t="n">
        <v>0</v>
      </c>
      <c r="R16" s="9" t="n">
        <v>12</v>
      </c>
      <c r="S16" s="9" t="n">
        <v>147</v>
      </c>
      <c r="T16" s="9" t="n">
        <v>83.83</v>
      </c>
    </row>
    <row r="17">
      <c r="A17" s="8" t="n">
        <v>7</v>
      </c>
      <c r="B17" s="8" t="inlineStr">
        <is>
          <t>秀山县</t>
        </is>
      </c>
      <c r="C17" s="8" t="n">
        <v>0</v>
      </c>
      <c r="D17" s="8" t="n">
        <v>24</v>
      </c>
      <c r="E17" s="8" t="n">
        <v>4</v>
      </c>
      <c r="F17" s="8" t="n">
        <v>19</v>
      </c>
      <c r="G17" s="8" t="n">
        <v>12</v>
      </c>
      <c r="H17" s="8" t="n">
        <v>15</v>
      </c>
      <c r="I17" s="8" t="n">
        <v>23</v>
      </c>
      <c r="J17" s="8" t="n">
        <v>1</v>
      </c>
      <c r="K17" s="8" t="n">
        <v>0</v>
      </c>
      <c r="L17" s="8" t="n">
        <v>21</v>
      </c>
      <c r="M17" s="8" t="n">
        <v>59</v>
      </c>
      <c r="N17" s="8" t="n">
        <v>34</v>
      </c>
      <c r="O17" s="8" t="n">
        <v>36</v>
      </c>
      <c r="P17" s="8" t="n">
        <v>8</v>
      </c>
      <c r="Q17" s="8" t="n">
        <v>2</v>
      </c>
      <c r="R17" s="8" t="n">
        <v>2</v>
      </c>
      <c r="S17" s="8" t="n">
        <v>125</v>
      </c>
      <c r="T17" s="8" t="n">
        <v>80.31999999999999</v>
      </c>
    </row>
    <row r="18">
      <c r="A18" s="9" t="n">
        <v>8</v>
      </c>
      <c r="B18" s="9" t="inlineStr">
        <is>
          <t>开州区</t>
        </is>
      </c>
      <c r="C18" s="9" t="n">
        <v>3</v>
      </c>
      <c r="D18" s="9" t="n">
        <v>17</v>
      </c>
      <c r="E18" s="9" t="n">
        <v>6</v>
      </c>
      <c r="F18" s="9" t="n">
        <v>15</v>
      </c>
      <c r="G18" s="9" t="n">
        <v>7</v>
      </c>
      <c r="H18" s="9" t="n">
        <v>18</v>
      </c>
      <c r="I18" s="9" t="n">
        <v>21</v>
      </c>
      <c r="J18" s="9" t="n">
        <v>1</v>
      </c>
      <c r="K18" s="9" t="n">
        <v>6</v>
      </c>
      <c r="L18" s="9" t="n">
        <v>17</v>
      </c>
      <c r="M18" s="9" t="n">
        <v>48</v>
      </c>
      <c r="N18" s="9" t="n">
        <v>30</v>
      </c>
      <c r="O18" s="9" t="n">
        <v>28</v>
      </c>
      <c r="P18" s="9" t="n">
        <v>16</v>
      </c>
      <c r="Q18" s="9" t="n">
        <v>1</v>
      </c>
      <c r="R18" s="9" t="n">
        <v>22</v>
      </c>
      <c r="S18" s="9" t="n">
        <v>114</v>
      </c>
      <c r="T18" s="9" t="n">
        <v>78.56</v>
      </c>
    </row>
    <row r="19">
      <c r="A19" s="8" t="n">
        <v>9</v>
      </c>
      <c r="B19" s="8" t="inlineStr">
        <is>
          <t>巫山县</t>
        </is>
      </c>
      <c r="C19" s="8" t="n">
        <v>0</v>
      </c>
      <c r="D19" s="8" t="n">
        <v>25</v>
      </c>
      <c r="E19" s="8" t="n">
        <v>3</v>
      </c>
      <c r="F19" s="8" t="n">
        <v>24</v>
      </c>
      <c r="G19" s="8" t="n">
        <v>10</v>
      </c>
      <c r="H19" s="8" t="n">
        <v>28</v>
      </c>
      <c r="I19" s="8" t="n">
        <v>28</v>
      </c>
      <c r="J19" s="8" t="n">
        <v>0</v>
      </c>
      <c r="K19" s="8" t="n">
        <v>10</v>
      </c>
      <c r="L19" s="8" t="n">
        <v>11</v>
      </c>
      <c r="M19" s="8" t="n">
        <v>47</v>
      </c>
      <c r="N19" s="8" t="n">
        <v>49</v>
      </c>
      <c r="O19" s="8" t="n">
        <v>43</v>
      </c>
      <c r="P19" s="8" t="n">
        <v>25</v>
      </c>
      <c r="Q19" s="8" t="n">
        <v>0</v>
      </c>
      <c r="R19" s="8" t="n">
        <v>24</v>
      </c>
      <c r="S19" s="8" t="n">
        <v>113</v>
      </c>
      <c r="T19" s="8" t="n">
        <v>78.40000000000001</v>
      </c>
    </row>
    <row r="20">
      <c r="A20" s="9" t="n">
        <v>10</v>
      </c>
      <c r="B20" s="9" t="inlineStr">
        <is>
          <t>永川区</t>
        </is>
      </c>
      <c r="C20" s="9" t="n">
        <v>3</v>
      </c>
      <c r="D20" s="9" t="n">
        <v>12</v>
      </c>
      <c r="E20" s="9" t="n">
        <v>8</v>
      </c>
      <c r="F20" s="9" t="n">
        <v>6</v>
      </c>
      <c r="G20" s="9" t="n">
        <v>5</v>
      </c>
      <c r="H20" s="9" t="n">
        <v>12</v>
      </c>
      <c r="I20" s="9" t="n">
        <v>26</v>
      </c>
      <c r="J20" s="9" t="n">
        <v>0</v>
      </c>
      <c r="K20" s="9" t="n">
        <v>4</v>
      </c>
      <c r="L20" s="9" t="n">
        <v>9</v>
      </c>
      <c r="M20" s="9" t="n">
        <v>27</v>
      </c>
      <c r="N20" s="9" t="n">
        <v>27</v>
      </c>
      <c r="O20" s="9" t="n">
        <v>43</v>
      </c>
      <c r="P20" s="9" t="n">
        <v>10</v>
      </c>
      <c r="Q20" s="9" t="n">
        <v>2</v>
      </c>
      <c r="R20" s="9" t="n">
        <v>17</v>
      </c>
      <c r="S20" s="9" t="n">
        <v>112</v>
      </c>
      <c r="T20" s="9" t="n">
        <v>78.23999999999999</v>
      </c>
    </row>
    <row r="21">
      <c r="A21" s="8" t="n">
        <v>11</v>
      </c>
      <c r="B21" s="8" t="inlineStr">
        <is>
          <t>梁平区</t>
        </is>
      </c>
      <c r="C21" s="8" t="n">
        <v>1</v>
      </c>
      <c r="D21" s="8" t="n">
        <v>21</v>
      </c>
      <c r="E21" s="8" t="n">
        <v>6</v>
      </c>
      <c r="F21" s="8" t="n">
        <v>22</v>
      </c>
      <c r="G21" s="8" t="n">
        <v>2</v>
      </c>
      <c r="H21" s="8" t="n">
        <v>13</v>
      </c>
      <c r="I21" s="8" t="n">
        <v>15</v>
      </c>
      <c r="J21" s="8" t="n">
        <v>2</v>
      </c>
      <c r="K21" s="8" t="n">
        <v>7</v>
      </c>
      <c r="L21" s="8" t="n">
        <v>27</v>
      </c>
      <c r="M21" s="8" t="n">
        <v>74</v>
      </c>
      <c r="N21" s="8" t="n">
        <v>41</v>
      </c>
      <c r="O21" s="8" t="n">
        <v>51</v>
      </c>
      <c r="P21" s="8" t="n">
        <v>4</v>
      </c>
      <c r="Q21" s="8" t="n">
        <v>3</v>
      </c>
      <c r="R21" s="8" t="n">
        <v>16</v>
      </c>
      <c r="S21" s="8" t="n">
        <v>109</v>
      </c>
      <c r="T21" s="8" t="n">
        <v>77.77</v>
      </c>
    </row>
    <row r="22">
      <c r="A22" s="9" t="n">
        <v>12</v>
      </c>
      <c r="B22" s="9" t="inlineStr">
        <is>
          <t>万州区</t>
        </is>
      </c>
      <c r="C22" s="9" t="n">
        <v>0</v>
      </c>
      <c r="D22" s="9" t="n">
        <v>13</v>
      </c>
      <c r="E22" s="9" t="n">
        <v>9</v>
      </c>
      <c r="F22" s="9" t="n">
        <v>9</v>
      </c>
      <c r="G22" s="9" t="n">
        <v>3</v>
      </c>
      <c r="H22" s="9" t="n">
        <v>8</v>
      </c>
      <c r="I22" s="9" t="n">
        <v>15</v>
      </c>
      <c r="J22" s="9" t="n">
        <v>4</v>
      </c>
      <c r="K22" s="9" t="n">
        <v>3</v>
      </c>
      <c r="L22" s="9" t="n">
        <v>9</v>
      </c>
      <c r="M22" s="9" t="n">
        <v>23</v>
      </c>
      <c r="N22" s="9" t="n">
        <v>18</v>
      </c>
      <c r="O22" s="9" t="n">
        <v>27</v>
      </c>
      <c r="P22" s="9" t="n">
        <v>15</v>
      </c>
      <c r="Q22" s="9" t="n">
        <v>1</v>
      </c>
      <c r="R22" s="9" t="n">
        <v>46</v>
      </c>
      <c r="S22" s="9" t="n">
        <v>108</v>
      </c>
      <c r="T22" s="9" t="n">
        <v>77.61</v>
      </c>
    </row>
    <row r="23">
      <c r="A23" s="8" t="n">
        <v>13</v>
      </c>
      <c r="B23" s="8" t="inlineStr">
        <is>
          <t>江津区</t>
        </is>
      </c>
      <c r="C23" s="8" t="n">
        <v>2</v>
      </c>
      <c r="D23" s="8" t="n">
        <v>5</v>
      </c>
      <c r="E23" s="8" t="n">
        <v>9</v>
      </c>
      <c r="F23" s="8" t="n">
        <v>10</v>
      </c>
      <c r="G23" s="8" t="n">
        <v>1</v>
      </c>
      <c r="H23" s="8" t="n">
        <v>5</v>
      </c>
      <c r="I23" s="8" t="n">
        <v>15</v>
      </c>
      <c r="J23" s="8" t="n">
        <v>2</v>
      </c>
      <c r="K23" s="8" t="n">
        <v>1</v>
      </c>
      <c r="L23" s="8" t="n">
        <v>14</v>
      </c>
      <c r="M23" s="8" t="n">
        <v>45</v>
      </c>
      <c r="N23" s="8" t="n">
        <v>17</v>
      </c>
      <c r="O23" s="8" t="n">
        <v>32</v>
      </c>
      <c r="P23" s="8" t="n">
        <v>19</v>
      </c>
      <c r="Q23" s="8" t="n">
        <v>2</v>
      </c>
      <c r="R23" s="8" t="n">
        <v>21</v>
      </c>
      <c r="S23" s="8" t="n">
        <v>93</v>
      </c>
      <c r="T23" s="8" t="n">
        <v>75.20999999999999</v>
      </c>
    </row>
    <row r="24">
      <c r="A24" s="9" t="n">
        <v>14</v>
      </c>
      <c r="B24" s="9" t="inlineStr">
        <is>
          <t>武隆区</t>
        </is>
      </c>
      <c r="C24" s="9" t="n">
        <v>0</v>
      </c>
      <c r="D24" s="9" t="n">
        <v>16</v>
      </c>
      <c r="E24" s="9" t="n">
        <v>4</v>
      </c>
      <c r="F24" s="9" t="n">
        <v>8</v>
      </c>
      <c r="G24" s="9" t="n">
        <v>15</v>
      </c>
      <c r="H24" s="9" t="n">
        <v>10</v>
      </c>
      <c r="I24" s="9" t="n">
        <v>17</v>
      </c>
      <c r="J24" s="9" t="n">
        <v>0</v>
      </c>
      <c r="K24" s="9" t="n">
        <v>8</v>
      </c>
      <c r="L24" s="9" t="n">
        <v>17</v>
      </c>
      <c r="M24" s="9" t="n">
        <v>32</v>
      </c>
      <c r="N24" s="9" t="n">
        <v>36</v>
      </c>
      <c r="O24" s="9" t="n">
        <v>10</v>
      </c>
      <c r="P24" s="9" t="n">
        <v>9</v>
      </c>
      <c r="Q24" s="9" t="n">
        <v>0</v>
      </c>
      <c r="R24" s="9" t="n">
        <v>8</v>
      </c>
      <c r="S24" s="9" t="n">
        <v>92</v>
      </c>
      <c r="T24" s="9" t="n">
        <v>75.05</v>
      </c>
    </row>
    <row r="25">
      <c r="A25" s="8" t="n">
        <v>15</v>
      </c>
      <c r="B25" s="8" t="inlineStr">
        <is>
          <t>巴南区</t>
        </is>
      </c>
      <c r="C25" s="8" t="n">
        <v>0</v>
      </c>
      <c r="D25" s="8" t="n">
        <v>14</v>
      </c>
      <c r="E25" s="8" t="n">
        <v>1</v>
      </c>
      <c r="F25" s="8" t="n">
        <v>5</v>
      </c>
      <c r="G25" s="8" t="n">
        <v>4</v>
      </c>
      <c r="H25" s="8" t="n">
        <v>9</v>
      </c>
      <c r="I25" s="8" t="n">
        <v>7</v>
      </c>
      <c r="J25" s="8" t="n">
        <v>0</v>
      </c>
      <c r="K25" s="8" t="n">
        <v>5</v>
      </c>
      <c r="L25" s="8" t="n">
        <v>3</v>
      </c>
      <c r="M25" s="8" t="n">
        <v>44</v>
      </c>
      <c r="N25" s="8" t="n">
        <v>10</v>
      </c>
      <c r="O25" s="8" t="n">
        <v>19</v>
      </c>
      <c r="P25" s="8" t="n">
        <v>6</v>
      </c>
      <c r="Q25" s="8" t="n">
        <v>16</v>
      </c>
      <c r="R25" s="8" t="n">
        <v>8</v>
      </c>
      <c r="S25" s="8" t="n">
        <v>91</v>
      </c>
      <c r="T25" s="8" t="n">
        <v>74.89</v>
      </c>
    </row>
    <row r="26">
      <c r="A26" s="9" t="n">
        <v>16</v>
      </c>
      <c r="B26" s="9" t="inlineStr">
        <is>
          <t>奉节县</t>
        </is>
      </c>
      <c r="C26" s="9" t="n">
        <v>0</v>
      </c>
      <c r="D26" s="9" t="n">
        <v>12</v>
      </c>
      <c r="E26" s="9" t="n">
        <v>2</v>
      </c>
      <c r="F26" s="9" t="n">
        <v>11</v>
      </c>
      <c r="G26" s="9" t="n">
        <v>0</v>
      </c>
      <c r="H26" s="9" t="n">
        <v>22</v>
      </c>
      <c r="I26" s="9" t="n">
        <v>22</v>
      </c>
      <c r="J26" s="9" t="n">
        <v>2</v>
      </c>
      <c r="K26" s="9" t="n">
        <v>2</v>
      </c>
      <c r="L26" s="9" t="n">
        <v>10</v>
      </c>
      <c r="M26" s="9" t="n">
        <v>20</v>
      </c>
      <c r="N26" s="9" t="n">
        <v>30</v>
      </c>
      <c r="O26" s="9" t="n">
        <v>41</v>
      </c>
      <c r="P26" s="9" t="n">
        <v>6</v>
      </c>
      <c r="Q26" s="9" t="n">
        <v>1</v>
      </c>
      <c r="R26" s="9" t="n">
        <v>24</v>
      </c>
      <c r="S26" s="9" t="n">
        <v>91</v>
      </c>
      <c r="T26" s="9" t="n">
        <v>74.89</v>
      </c>
    </row>
    <row r="27">
      <c r="A27" s="8" t="n">
        <v>17</v>
      </c>
      <c r="B27" s="8" t="inlineStr">
        <is>
          <t>石柱县</t>
        </is>
      </c>
      <c r="C27" s="8" t="n">
        <v>0</v>
      </c>
      <c r="D27" s="8" t="n">
        <v>23</v>
      </c>
      <c r="E27" s="8" t="n">
        <v>2</v>
      </c>
      <c r="F27" s="8" t="n">
        <v>9</v>
      </c>
      <c r="G27" s="8" t="n">
        <v>12</v>
      </c>
      <c r="H27" s="8" t="n">
        <v>13</v>
      </c>
      <c r="I27" s="8" t="n">
        <v>17</v>
      </c>
      <c r="J27" s="8" t="n">
        <v>1</v>
      </c>
      <c r="K27" s="8" t="n">
        <v>3</v>
      </c>
      <c r="L27" s="8" t="n">
        <v>15</v>
      </c>
      <c r="M27" s="8" t="n">
        <v>32</v>
      </c>
      <c r="N27" s="8" t="n">
        <v>22</v>
      </c>
      <c r="O27" s="8" t="n">
        <v>16</v>
      </c>
      <c r="P27" s="8" t="n">
        <v>3</v>
      </c>
      <c r="Q27" s="8" t="n">
        <v>1</v>
      </c>
      <c r="R27" s="8" t="n">
        <v>9</v>
      </c>
      <c r="S27" s="8" t="n">
        <v>87</v>
      </c>
      <c r="T27" s="8" t="n">
        <v>74.26000000000001</v>
      </c>
    </row>
    <row r="28">
      <c r="A28" s="9" t="n">
        <v>18</v>
      </c>
      <c r="B28" s="9" t="inlineStr">
        <is>
          <t>九龙坡区</t>
        </is>
      </c>
      <c r="C28" s="9" t="n">
        <v>3</v>
      </c>
      <c r="D28" s="9" t="n">
        <v>17</v>
      </c>
      <c r="E28" s="9" t="n">
        <v>18</v>
      </c>
      <c r="F28" s="9" t="n">
        <v>14</v>
      </c>
      <c r="G28" s="9" t="n">
        <v>11</v>
      </c>
      <c r="H28" s="9" t="n">
        <v>9</v>
      </c>
      <c r="I28" s="9" t="n">
        <v>9</v>
      </c>
      <c r="J28" s="9" t="n">
        <v>0</v>
      </c>
      <c r="K28" s="9" t="n">
        <v>3</v>
      </c>
      <c r="L28" s="9" t="n">
        <v>1</v>
      </c>
      <c r="M28" s="9" t="n">
        <v>28</v>
      </c>
      <c r="N28" s="9" t="n">
        <v>6</v>
      </c>
      <c r="O28" s="9" t="n">
        <v>31</v>
      </c>
      <c r="P28" s="9" t="n">
        <v>10</v>
      </c>
      <c r="Q28" s="9" t="n">
        <v>1</v>
      </c>
      <c r="R28" s="9" t="n">
        <v>25</v>
      </c>
      <c r="S28" s="9" t="n">
        <v>83</v>
      </c>
      <c r="T28" s="9" t="n">
        <v>73.62</v>
      </c>
    </row>
    <row r="29">
      <c r="A29" s="8" t="n">
        <v>19</v>
      </c>
      <c r="B29" s="8" t="inlineStr">
        <is>
          <t>荣昌区</t>
        </is>
      </c>
      <c r="C29" s="8" t="n">
        <v>1</v>
      </c>
      <c r="D29" s="8" t="n">
        <v>16</v>
      </c>
      <c r="E29" s="8" t="n">
        <v>6</v>
      </c>
      <c r="F29" s="8" t="n">
        <v>4</v>
      </c>
      <c r="G29" s="8" t="n">
        <v>1</v>
      </c>
      <c r="H29" s="8" t="n">
        <v>3</v>
      </c>
      <c r="I29" s="8" t="n">
        <v>7</v>
      </c>
      <c r="J29" s="8" t="n">
        <v>1</v>
      </c>
      <c r="K29" s="8" t="n">
        <v>2</v>
      </c>
      <c r="L29" s="8" t="n">
        <v>6</v>
      </c>
      <c r="M29" s="8" t="n">
        <v>21</v>
      </c>
      <c r="N29" s="8" t="n">
        <v>13</v>
      </c>
      <c r="O29" s="8" t="n">
        <v>28</v>
      </c>
      <c r="P29" s="8" t="n">
        <v>16</v>
      </c>
      <c r="Q29" s="8" t="n">
        <v>1</v>
      </c>
      <c r="R29" s="8" t="n">
        <v>6</v>
      </c>
      <c r="S29" s="8" t="n">
        <v>74</v>
      </c>
      <c r="T29" s="8" t="n">
        <v>72.18000000000001</v>
      </c>
    </row>
    <row r="30">
      <c r="A30" s="9" t="n">
        <v>20</v>
      </c>
      <c r="B30" s="9" t="inlineStr">
        <is>
          <t>大足区</t>
        </is>
      </c>
      <c r="C30" s="9" t="n">
        <v>1</v>
      </c>
      <c r="D30" s="9" t="n">
        <v>21</v>
      </c>
      <c r="E30" s="9" t="n">
        <v>3</v>
      </c>
      <c r="F30" s="9" t="n">
        <v>3</v>
      </c>
      <c r="G30" s="9" t="n">
        <v>6</v>
      </c>
      <c r="H30" s="9" t="n">
        <v>9</v>
      </c>
      <c r="I30" s="9" t="n">
        <v>15</v>
      </c>
      <c r="J30" s="9" t="n">
        <v>0</v>
      </c>
      <c r="K30" s="9" t="n">
        <v>2</v>
      </c>
      <c r="L30" s="9" t="n">
        <v>1</v>
      </c>
      <c r="M30" s="9" t="n">
        <v>26</v>
      </c>
      <c r="N30" s="9" t="n">
        <v>4</v>
      </c>
      <c r="O30" s="9" t="n">
        <v>9</v>
      </c>
      <c r="P30" s="9" t="n">
        <v>2</v>
      </c>
      <c r="Q30" s="9" t="n">
        <v>0</v>
      </c>
      <c r="R30" s="9" t="n">
        <v>6</v>
      </c>
      <c r="S30" s="9" t="n">
        <v>71</v>
      </c>
      <c r="T30" s="9" t="n">
        <v>71.7</v>
      </c>
    </row>
    <row r="31">
      <c r="A31" s="8" t="n">
        <v>21</v>
      </c>
      <c r="B31" s="8" t="inlineStr">
        <is>
          <t>黔江区</t>
        </is>
      </c>
      <c r="C31" s="8" t="n">
        <v>0</v>
      </c>
      <c r="D31" s="8" t="n">
        <v>16</v>
      </c>
      <c r="E31" s="8" t="n">
        <v>3</v>
      </c>
      <c r="F31" s="8" t="n">
        <v>6</v>
      </c>
      <c r="G31" s="8" t="n">
        <v>7</v>
      </c>
      <c r="H31" s="8" t="n">
        <v>11</v>
      </c>
      <c r="I31" s="8" t="n">
        <v>17</v>
      </c>
      <c r="J31" s="8" t="n">
        <v>1</v>
      </c>
      <c r="K31" s="8" t="n">
        <v>9</v>
      </c>
      <c r="L31" s="8" t="n">
        <v>11</v>
      </c>
      <c r="M31" s="8" t="n">
        <v>27</v>
      </c>
      <c r="N31" s="8" t="n">
        <v>10</v>
      </c>
      <c r="O31" s="8" t="n">
        <v>11</v>
      </c>
      <c r="P31" s="8" t="n">
        <v>10</v>
      </c>
      <c r="Q31" s="8" t="n">
        <v>1</v>
      </c>
      <c r="R31" s="8" t="n">
        <v>11</v>
      </c>
      <c r="S31" s="8" t="n">
        <v>69</v>
      </c>
      <c r="T31" s="8" t="n">
        <v>71.38</v>
      </c>
    </row>
    <row r="32">
      <c r="A32" s="9" t="n">
        <v>22</v>
      </c>
      <c r="B32" s="9" t="inlineStr">
        <is>
          <t>彭水县</t>
        </is>
      </c>
      <c r="C32" s="9" t="n">
        <v>0</v>
      </c>
      <c r="D32" s="9" t="n">
        <v>19</v>
      </c>
      <c r="E32" s="9" t="n">
        <v>2</v>
      </c>
      <c r="F32" s="9" t="n">
        <v>2</v>
      </c>
      <c r="G32" s="9" t="n">
        <v>5</v>
      </c>
      <c r="H32" s="9" t="n">
        <v>10</v>
      </c>
      <c r="I32" s="9" t="n">
        <v>26</v>
      </c>
      <c r="J32" s="9" t="n">
        <v>0</v>
      </c>
      <c r="K32" s="9" t="n">
        <v>11</v>
      </c>
      <c r="L32" s="9" t="n">
        <v>9</v>
      </c>
      <c r="M32" s="9" t="n">
        <v>26</v>
      </c>
      <c r="N32" s="9" t="n">
        <v>20</v>
      </c>
      <c r="O32" s="9" t="n">
        <v>20</v>
      </c>
      <c r="P32" s="9" t="n">
        <v>8</v>
      </c>
      <c r="Q32" s="9" t="n">
        <v>0</v>
      </c>
      <c r="R32" s="9" t="n">
        <v>14</v>
      </c>
      <c r="S32" s="9" t="n">
        <v>65</v>
      </c>
      <c r="T32" s="9" t="n">
        <v>70.73999999999999</v>
      </c>
    </row>
    <row r="33">
      <c r="A33" s="8" t="n">
        <v>23</v>
      </c>
      <c r="B33" s="8" t="inlineStr">
        <is>
          <t>云阳县</t>
        </is>
      </c>
      <c r="C33" s="8" t="n">
        <v>0</v>
      </c>
      <c r="D33" s="8" t="n">
        <v>5</v>
      </c>
      <c r="E33" s="8" t="n">
        <v>4</v>
      </c>
      <c r="F33" s="8" t="n">
        <v>8</v>
      </c>
      <c r="G33" s="8" t="n">
        <v>2</v>
      </c>
      <c r="H33" s="8" t="n">
        <v>6</v>
      </c>
      <c r="I33" s="8" t="n">
        <v>5</v>
      </c>
      <c r="J33" s="8" t="n">
        <v>7</v>
      </c>
      <c r="K33" s="8" t="n">
        <v>3</v>
      </c>
      <c r="L33" s="8" t="n">
        <v>3</v>
      </c>
      <c r="M33" s="8" t="n">
        <v>41</v>
      </c>
      <c r="N33" s="8" t="n">
        <v>27</v>
      </c>
      <c r="O33" s="8" t="n">
        <v>14</v>
      </c>
      <c r="P33" s="8" t="n">
        <v>5</v>
      </c>
      <c r="Q33" s="8" t="n">
        <v>1</v>
      </c>
      <c r="R33" s="8" t="n">
        <v>9</v>
      </c>
      <c r="S33" s="8" t="n">
        <v>64</v>
      </c>
      <c r="T33" s="8" t="n">
        <v>70.59</v>
      </c>
    </row>
    <row r="34">
      <c r="A34" s="9" t="n">
        <v>24</v>
      </c>
      <c r="B34" s="9" t="inlineStr">
        <is>
          <t>酉阳县</t>
        </is>
      </c>
      <c r="C34" s="9" t="n">
        <v>0</v>
      </c>
      <c r="D34" s="9" t="n">
        <v>7</v>
      </c>
      <c r="E34" s="9" t="n">
        <v>2</v>
      </c>
      <c r="F34" s="9" t="n">
        <v>7</v>
      </c>
      <c r="G34" s="9" t="n">
        <v>4</v>
      </c>
      <c r="H34" s="9" t="n">
        <v>4</v>
      </c>
      <c r="I34" s="9" t="n">
        <v>8</v>
      </c>
      <c r="J34" s="9" t="n">
        <v>0</v>
      </c>
      <c r="K34" s="9" t="n">
        <v>1</v>
      </c>
      <c r="L34" s="9" t="n">
        <v>17</v>
      </c>
      <c r="M34" s="9" t="n">
        <v>20</v>
      </c>
      <c r="N34" s="9" t="n">
        <v>14</v>
      </c>
      <c r="O34" s="9" t="n">
        <v>4</v>
      </c>
      <c r="P34" s="9" t="n">
        <v>4</v>
      </c>
      <c r="Q34" s="9" t="n">
        <v>1</v>
      </c>
      <c r="R34" s="9" t="n">
        <v>4</v>
      </c>
      <c r="S34" s="9" t="n">
        <v>63</v>
      </c>
      <c r="T34" s="9" t="n">
        <v>70.43000000000001</v>
      </c>
    </row>
    <row r="35">
      <c r="A35" s="8" t="n">
        <v>25</v>
      </c>
      <c r="B35" s="8" t="inlineStr">
        <is>
          <t>城口县</t>
        </is>
      </c>
      <c r="C35" s="8" t="n">
        <v>0</v>
      </c>
      <c r="D35" s="8" t="n">
        <v>8</v>
      </c>
      <c r="E35" s="8" t="n">
        <v>2</v>
      </c>
      <c r="F35" s="8" t="n">
        <v>9</v>
      </c>
      <c r="G35" s="8" t="n">
        <v>3</v>
      </c>
      <c r="H35" s="8" t="n">
        <v>4</v>
      </c>
      <c r="I35" s="8" t="n">
        <v>9</v>
      </c>
      <c r="J35" s="8" t="n">
        <v>0</v>
      </c>
      <c r="K35" s="8" t="n">
        <v>5</v>
      </c>
      <c r="L35" s="8" t="n">
        <v>15</v>
      </c>
      <c r="M35" s="8" t="n">
        <v>26</v>
      </c>
      <c r="N35" s="8" t="n">
        <v>25</v>
      </c>
      <c r="O35" s="8" t="n">
        <v>17</v>
      </c>
      <c r="P35" s="8" t="n">
        <v>6</v>
      </c>
      <c r="Q35" s="8" t="n">
        <v>2</v>
      </c>
      <c r="R35" s="8" t="n">
        <v>8</v>
      </c>
      <c r="S35" s="8" t="n">
        <v>62</v>
      </c>
      <c r="T35" s="8" t="n">
        <v>70.27</v>
      </c>
    </row>
    <row r="36">
      <c r="A36" s="9" t="n">
        <v>26</v>
      </c>
      <c r="B36" s="9" t="inlineStr">
        <is>
          <t>北碚区</t>
        </is>
      </c>
      <c r="C36" s="9" t="n">
        <v>7</v>
      </c>
      <c r="D36" s="9" t="n">
        <v>13</v>
      </c>
      <c r="E36" s="9" t="n">
        <v>8</v>
      </c>
      <c r="F36" s="9" t="n">
        <v>14</v>
      </c>
      <c r="G36" s="9" t="n">
        <v>9</v>
      </c>
      <c r="H36" s="9" t="n">
        <v>14</v>
      </c>
      <c r="I36" s="9" t="n">
        <v>19</v>
      </c>
      <c r="J36" s="9" t="n">
        <v>0</v>
      </c>
      <c r="K36" s="9" t="n">
        <v>10</v>
      </c>
      <c r="L36" s="9" t="n">
        <v>11</v>
      </c>
      <c r="M36" s="9" t="n">
        <v>34</v>
      </c>
      <c r="N36" s="9" t="n">
        <v>25</v>
      </c>
      <c r="O36" s="9" t="n">
        <v>25</v>
      </c>
      <c r="P36" s="9" t="n">
        <v>15</v>
      </c>
      <c r="Q36" s="9" t="n">
        <v>1</v>
      </c>
      <c r="R36" s="9" t="n">
        <v>6</v>
      </c>
      <c r="S36" s="9" t="n">
        <v>61</v>
      </c>
      <c r="T36" s="9" t="n">
        <v>70.11</v>
      </c>
    </row>
    <row r="37">
      <c r="A37" s="8" t="n">
        <v>27</v>
      </c>
      <c r="B37" s="8" t="inlineStr">
        <is>
          <t>丰都县</t>
        </is>
      </c>
      <c r="C37" s="8" t="n">
        <v>1</v>
      </c>
      <c r="D37" s="8" t="n">
        <v>2</v>
      </c>
      <c r="E37" s="8" t="n">
        <v>6</v>
      </c>
      <c r="F37" s="8" t="n">
        <v>1</v>
      </c>
      <c r="G37" s="8" t="n">
        <v>3</v>
      </c>
      <c r="H37" s="8" t="n">
        <v>2</v>
      </c>
      <c r="I37" s="8" t="n">
        <v>12</v>
      </c>
      <c r="J37" s="8" t="n">
        <v>1</v>
      </c>
      <c r="K37" s="8" t="n">
        <v>2</v>
      </c>
      <c r="L37" s="8" t="n">
        <v>12</v>
      </c>
      <c r="M37" s="8" t="n">
        <v>22</v>
      </c>
      <c r="N37" s="8" t="n">
        <v>17</v>
      </c>
      <c r="O37" s="8" t="n">
        <v>28</v>
      </c>
      <c r="P37" s="8" t="n">
        <v>5</v>
      </c>
      <c r="Q37" s="8" t="n">
        <v>0</v>
      </c>
      <c r="R37" s="8" t="n">
        <v>17</v>
      </c>
      <c r="S37" s="8" t="n">
        <v>61</v>
      </c>
      <c r="T37" s="8" t="n">
        <v>70.11</v>
      </c>
    </row>
    <row r="38">
      <c r="A38" s="9" t="n">
        <v>28</v>
      </c>
      <c r="B38" s="9" t="inlineStr">
        <is>
          <t>潼南区</t>
        </is>
      </c>
      <c r="C38" s="9" t="n">
        <v>1</v>
      </c>
      <c r="D38" s="9" t="n">
        <v>8</v>
      </c>
      <c r="E38" s="9" t="n">
        <v>3</v>
      </c>
      <c r="F38" s="9" t="n">
        <v>2</v>
      </c>
      <c r="G38" s="9" t="n">
        <v>2</v>
      </c>
      <c r="H38" s="9" t="n">
        <v>16</v>
      </c>
      <c r="I38" s="9" t="n">
        <v>14</v>
      </c>
      <c r="J38" s="9" t="n">
        <v>2</v>
      </c>
      <c r="K38" s="9" t="n">
        <v>1</v>
      </c>
      <c r="L38" s="9" t="n">
        <v>5</v>
      </c>
      <c r="M38" s="9" t="n">
        <v>18</v>
      </c>
      <c r="N38" s="9" t="n">
        <v>14</v>
      </c>
      <c r="O38" s="9" t="n">
        <v>13</v>
      </c>
      <c r="P38" s="9" t="n">
        <v>10</v>
      </c>
      <c r="Q38" s="9" t="n">
        <v>3</v>
      </c>
      <c r="R38" s="9" t="n">
        <v>6</v>
      </c>
      <c r="S38" s="9" t="n">
        <v>59</v>
      </c>
      <c r="T38" s="9" t="n">
        <v>69.79000000000001</v>
      </c>
    </row>
    <row r="39">
      <c r="A39" s="8" t="n">
        <v>29</v>
      </c>
      <c r="B39" s="8" t="inlineStr">
        <is>
          <t>大渡口区</t>
        </is>
      </c>
      <c r="C39" s="8" t="n">
        <v>2</v>
      </c>
      <c r="D39" s="8" t="n">
        <v>4</v>
      </c>
      <c r="E39" s="8" t="n">
        <v>5</v>
      </c>
      <c r="F39" s="8" t="n">
        <v>5</v>
      </c>
      <c r="G39" s="8" t="n">
        <v>2</v>
      </c>
      <c r="H39" s="8" t="n">
        <v>10</v>
      </c>
      <c r="I39" s="8" t="n">
        <v>7</v>
      </c>
      <c r="J39" s="8" t="n">
        <v>0</v>
      </c>
      <c r="K39" s="8" t="n">
        <v>1</v>
      </c>
      <c r="L39" s="8" t="n">
        <v>2</v>
      </c>
      <c r="M39" s="8" t="n">
        <v>24</v>
      </c>
      <c r="N39" s="8" t="n">
        <v>18</v>
      </c>
      <c r="O39" s="8" t="n">
        <v>25</v>
      </c>
      <c r="P39" s="8" t="n">
        <v>4</v>
      </c>
      <c r="Q39" s="8" t="n">
        <v>0</v>
      </c>
      <c r="R39" s="8" t="n">
        <v>5</v>
      </c>
      <c r="S39" s="8" t="n">
        <v>57</v>
      </c>
      <c r="T39" s="8" t="n">
        <v>69.47</v>
      </c>
    </row>
    <row r="40">
      <c r="A40" s="9" t="n">
        <v>30</v>
      </c>
      <c r="B40" s="9" t="inlineStr">
        <is>
          <t>綦江区</t>
        </is>
      </c>
      <c r="C40" s="9" t="n">
        <v>0</v>
      </c>
      <c r="D40" s="9" t="n">
        <v>7</v>
      </c>
      <c r="E40" s="9" t="n">
        <v>2</v>
      </c>
      <c r="F40" s="9" t="n">
        <v>1</v>
      </c>
      <c r="G40" s="9" t="n">
        <v>3</v>
      </c>
      <c r="H40" s="9" t="n">
        <v>3</v>
      </c>
      <c r="I40" s="9" t="n">
        <v>8</v>
      </c>
      <c r="J40" s="9" t="n">
        <v>1</v>
      </c>
      <c r="K40" s="9" t="n">
        <v>1</v>
      </c>
      <c r="L40" s="9" t="n">
        <v>6</v>
      </c>
      <c r="M40" s="9" t="n">
        <v>23</v>
      </c>
      <c r="N40" s="9" t="n">
        <v>9</v>
      </c>
      <c r="O40" s="9" t="n">
        <v>13</v>
      </c>
      <c r="P40" s="9" t="n">
        <v>8</v>
      </c>
      <c r="Q40" s="9" t="n">
        <v>0</v>
      </c>
      <c r="R40" s="9" t="n">
        <v>5</v>
      </c>
      <c r="S40" s="9" t="n">
        <v>50</v>
      </c>
      <c r="T40" s="9" t="n">
        <v>68.34999999999999</v>
      </c>
    </row>
    <row r="41">
      <c r="A41" s="8" t="n">
        <v>31</v>
      </c>
      <c r="B41" s="8" t="inlineStr">
        <is>
          <t>合川区</t>
        </is>
      </c>
      <c r="C41" s="8" t="n">
        <v>0</v>
      </c>
      <c r="D41" s="8" t="n">
        <v>5</v>
      </c>
      <c r="E41" s="8" t="n">
        <v>4</v>
      </c>
      <c r="F41" s="8" t="n">
        <v>2</v>
      </c>
      <c r="G41" s="8" t="n">
        <v>2</v>
      </c>
      <c r="H41" s="8" t="n">
        <v>13</v>
      </c>
      <c r="I41" s="8" t="n">
        <v>18</v>
      </c>
      <c r="J41" s="8" t="n">
        <v>2</v>
      </c>
      <c r="K41" s="8" t="n">
        <v>2</v>
      </c>
      <c r="L41" s="8" t="n">
        <v>2</v>
      </c>
      <c r="M41" s="8" t="n">
        <v>11</v>
      </c>
      <c r="N41" s="8" t="n">
        <v>6</v>
      </c>
      <c r="O41" s="8" t="n">
        <v>14</v>
      </c>
      <c r="P41" s="8" t="n">
        <v>8</v>
      </c>
      <c r="Q41" s="8" t="n">
        <v>1</v>
      </c>
      <c r="R41" s="8" t="n">
        <v>5</v>
      </c>
      <c r="S41" s="8" t="n">
        <v>49</v>
      </c>
      <c r="T41" s="8" t="n">
        <v>68.19</v>
      </c>
    </row>
    <row r="42">
      <c r="A42" s="9" t="n">
        <v>32</v>
      </c>
      <c r="B42" s="9" t="inlineStr">
        <is>
          <t>铜梁区</t>
        </is>
      </c>
      <c r="C42" s="9" t="n">
        <v>1</v>
      </c>
      <c r="D42" s="9" t="n">
        <v>10</v>
      </c>
      <c r="E42" s="9" t="n">
        <v>2</v>
      </c>
      <c r="F42" s="9" t="n">
        <v>2</v>
      </c>
      <c r="G42" s="9" t="n">
        <v>8</v>
      </c>
      <c r="H42" s="9" t="n">
        <v>11</v>
      </c>
      <c r="I42" s="9" t="n">
        <v>17</v>
      </c>
      <c r="J42" s="9" t="n">
        <v>0</v>
      </c>
      <c r="K42" s="9" t="n">
        <v>1</v>
      </c>
      <c r="L42" s="9" t="n">
        <v>0</v>
      </c>
      <c r="M42" s="9" t="n">
        <v>13</v>
      </c>
      <c r="N42" s="9" t="n">
        <v>4</v>
      </c>
      <c r="O42" s="9" t="n">
        <v>8</v>
      </c>
      <c r="P42" s="9" t="n">
        <v>1</v>
      </c>
      <c r="Q42" s="9" t="n">
        <v>0</v>
      </c>
      <c r="R42" s="9" t="n">
        <v>5</v>
      </c>
      <c r="S42" s="9" t="n">
        <v>48</v>
      </c>
      <c r="T42" s="9" t="n">
        <v>68.03</v>
      </c>
    </row>
    <row r="43">
      <c r="A43" s="8" t="n">
        <v>33</v>
      </c>
      <c r="B43" s="8" t="inlineStr">
        <is>
          <t>科学城重庆高新区</t>
        </is>
      </c>
      <c r="C43" s="8" t="n">
        <v>0</v>
      </c>
      <c r="D43" s="8" t="n">
        <v>4</v>
      </c>
      <c r="E43" s="8" t="n">
        <v>9</v>
      </c>
      <c r="F43" s="8" t="n">
        <v>3</v>
      </c>
      <c r="G43" s="8" t="n">
        <v>0</v>
      </c>
      <c r="H43" s="8" t="n">
        <v>2</v>
      </c>
      <c r="I43" s="8" t="n">
        <v>7</v>
      </c>
      <c r="J43" s="8" t="n">
        <v>1</v>
      </c>
      <c r="K43" s="8" t="n">
        <v>1</v>
      </c>
      <c r="L43" s="8" t="n">
        <v>3</v>
      </c>
      <c r="M43" s="8" t="n">
        <v>19</v>
      </c>
      <c r="N43" s="8" t="n">
        <v>10</v>
      </c>
      <c r="O43" s="8" t="n">
        <v>31</v>
      </c>
      <c r="P43" s="8" t="n">
        <v>3</v>
      </c>
      <c r="Q43" s="8" t="n">
        <v>0</v>
      </c>
      <c r="R43" s="8" t="n">
        <v>2</v>
      </c>
      <c r="S43" s="8" t="n">
        <v>48</v>
      </c>
      <c r="T43" s="8" t="n">
        <v>68.03</v>
      </c>
    </row>
    <row r="44">
      <c r="A44" s="9" t="n">
        <v>34</v>
      </c>
      <c r="B44" s="9" t="inlineStr">
        <is>
          <t>沙坪坝区</t>
        </is>
      </c>
      <c r="C44" s="9" t="n">
        <v>0</v>
      </c>
      <c r="D44" s="9" t="n">
        <v>10</v>
      </c>
      <c r="E44" s="9" t="n">
        <v>4</v>
      </c>
      <c r="F44" s="9" t="n">
        <v>2</v>
      </c>
      <c r="G44" s="9" t="n">
        <v>2</v>
      </c>
      <c r="H44" s="9" t="n">
        <v>9</v>
      </c>
      <c r="I44" s="9" t="n">
        <v>12</v>
      </c>
      <c r="J44" s="9" t="n">
        <v>0</v>
      </c>
      <c r="K44" s="9" t="n">
        <v>0</v>
      </c>
      <c r="L44" s="9" t="n">
        <v>1</v>
      </c>
      <c r="M44" s="9" t="n">
        <v>14</v>
      </c>
      <c r="N44" s="9" t="n">
        <v>2</v>
      </c>
      <c r="O44" s="9" t="n">
        <v>13</v>
      </c>
      <c r="P44" s="9" t="n">
        <v>4</v>
      </c>
      <c r="Q44" s="9" t="n">
        <v>0</v>
      </c>
      <c r="R44" s="9" t="n">
        <v>2</v>
      </c>
      <c r="S44" s="9" t="n">
        <v>45</v>
      </c>
      <c r="T44" s="9" t="n">
        <v>67.55</v>
      </c>
    </row>
    <row r="45">
      <c r="A45" s="8" t="n">
        <v>35</v>
      </c>
      <c r="B45" s="8" t="inlineStr">
        <is>
          <t>垫江县</t>
        </is>
      </c>
      <c r="C45" s="8" t="n">
        <v>0</v>
      </c>
      <c r="D45" s="8" t="n">
        <v>0</v>
      </c>
      <c r="E45" s="8" t="n">
        <v>8</v>
      </c>
      <c r="F45" s="8" t="n">
        <v>4</v>
      </c>
      <c r="G45" s="8" t="n">
        <v>0</v>
      </c>
      <c r="H45" s="8" t="n">
        <v>2</v>
      </c>
      <c r="I45" s="8" t="n">
        <v>6</v>
      </c>
      <c r="J45" s="8" t="n">
        <v>0</v>
      </c>
      <c r="K45" s="8" t="n">
        <v>1</v>
      </c>
      <c r="L45" s="8" t="n">
        <v>5</v>
      </c>
      <c r="M45" s="8" t="n">
        <v>17</v>
      </c>
      <c r="N45" s="8" t="n">
        <v>4</v>
      </c>
      <c r="O45" s="8" t="n">
        <v>14</v>
      </c>
      <c r="P45" s="8" t="n">
        <v>2</v>
      </c>
      <c r="Q45" s="8" t="n">
        <v>1</v>
      </c>
      <c r="R45" s="8" t="n">
        <v>1</v>
      </c>
      <c r="S45" s="8" t="n">
        <v>42</v>
      </c>
      <c r="T45" s="8" t="n">
        <v>67.06999999999999</v>
      </c>
    </row>
    <row r="46">
      <c r="A46" s="9" t="n">
        <v>36</v>
      </c>
      <c r="B46" s="9" t="inlineStr">
        <is>
          <t>忠县</t>
        </is>
      </c>
      <c r="C46" s="9" t="n">
        <v>0</v>
      </c>
      <c r="D46" s="9" t="n">
        <v>10</v>
      </c>
      <c r="E46" s="9" t="n">
        <v>2</v>
      </c>
      <c r="F46" s="9" t="n">
        <v>3</v>
      </c>
      <c r="G46" s="9" t="n">
        <v>3</v>
      </c>
      <c r="H46" s="9" t="n">
        <v>4</v>
      </c>
      <c r="I46" s="9" t="n">
        <v>14</v>
      </c>
      <c r="J46" s="9" t="n">
        <v>1</v>
      </c>
      <c r="K46" s="9" t="n">
        <v>8</v>
      </c>
      <c r="L46" s="9" t="n">
        <v>2</v>
      </c>
      <c r="M46" s="9" t="n">
        <v>17</v>
      </c>
      <c r="N46" s="9" t="n">
        <v>14</v>
      </c>
      <c r="O46" s="9" t="n">
        <v>18</v>
      </c>
      <c r="P46" s="9" t="n">
        <v>8</v>
      </c>
      <c r="Q46" s="9" t="n">
        <v>1</v>
      </c>
      <c r="R46" s="9" t="n">
        <v>12</v>
      </c>
      <c r="S46" s="9" t="n">
        <v>38</v>
      </c>
      <c r="T46" s="9" t="n">
        <v>66.44</v>
      </c>
    </row>
    <row r="47">
      <c r="A47" s="8" t="n">
        <v>37</v>
      </c>
      <c r="B47" s="8" t="inlineStr">
        <is>
          <t>万盛经开区</t>
        </is>
      </c>
      <c r="C47" s="8" t="n">
        <v>1</v>
      </c>
      <c r="D47" s="8" t="n">
        <v>14</v>
      </c>
      <c r="E47" s="8" t="n">
        <v>0</v>
      </c>
      <c r="F47" s="8" t="n">
        <v>4</v>
      </c>
      <c r="G47" s="8" t="n">
        <v>3</v>
      </c>
      <c r="H47" s="8" t="n">
        <v>10</v>
      </c>
      <c r="I47" s="8" t="n">
        <v>11</v>
      </c>
      <c r="J47" s="8" t="n">
        <v>1</v>
      </c>
      <c r="K47" s="8" t="n">
        <v>0</v>
      </c>
      <c r="L47" s="8" t="n">
        <v>10</v>
      </c>
      <c r="M47" s="8" t="n">
        <v>10</v>
      </c>
      <c r="N47" s="8" t="n">
        <v>9</v>
      </c>
      <c r="O47" s="8" t="n">
        <v>11</v>
      </c>
      <c r="P47" s="8" t="n">
        <v>3</v>
      </c>
      <c r="Q47" s="8" t="n">
        <v>0</v>
      </c>
      <c r="R47" s="8" t="n">
        <v>1</v>
      </c>
      <c r="S47" s="8" t="n">
        <v>37</v>
      </c>
      <c r="T47" s="8" t="n">
        <v>66.28</v>
      </c>
    </row>
    <row r="48">
      <c r="A48" s="9" t="n">
        <v>38</v>
      </c>
      <c r="B48" s="9" t="inlineStr">
        <is>
          <t>巫溪县</t>
        </is>
      </c>
      <c r="C48" s="9" t="n">
        <v>0</v>
      </c>
      <c r="D48" s="9" t="n">
        <v>7</v>
      </c>
      <c r="E48" s="9" t="n">
        <v>2</v>
      </c>
      <c r="F48" s="9" t="n">
        <v>5</v>
      </c>
      <c r="G48" s="9" t="n">
        <v>5</v>
      </c>
      <c r="H48" s="9" t="n">
        <v>9</v>
      </c>
      <c r="I48" s="9" t="n">
        <v>12</v>
      </c>
      <c r="J48" s="9" t="n">
        <v>0</v>
      </c>
      <c r="K48" s="9" t="n">
        <v>3</v>
      </c>
      <c r="L48" s="9" t="n">
        <v>6</v>
      </c>
      <c r="M48" s="9" t="n">
        <v>13</v>
      </c>
      <c r="N48" s="9" t="n">
        <v>6</v>
      </c>
      <c r="O48" s="9" t="n">
        <v>5</v>
      </c>
      <c r="P48" s="9" t="n">
        <v>3</v>
      </c>
      <c r="Q48" s="9" t="n">
        <v>0</v>
      </c>
      <c r="R48" s="9" t="n">
        <v>6</v>
      </c>
      <c r="S48" s="9" t="n">
        <v>35</v>
      </c>
      <c r="T48" s="9" t="n">
        <v>65.95999999999999</v>
      </c>
    </row>
    <row r="49">
      <c r="A49" s="8" t="n">
        <v>39</v>
      </c>
      <c r="B49" s="8" t="inlineStr">
        <is>
          <t>璧山区</t>
        </is>
      </c>
      <c r="C49" s="8" t="n">
        <v>0</v>
      </c>
      <c r="D49" s="8" t="n">
        <v>3</v>
      </c>
      <c r="E49" s="8" t="n">
        <v>5</v>
      </c>
      <c r="F49" s="8" t="n">
        <v>0</v>
      </c>
      <c r="G49" s="8" t="n">
        <v>0</v>
      </c>
      <c r="H49" s="8" t="n">
        <v>1</v>
      </c>
      <c r="I49" s="8" t="n">
        <v>8</v>
      </c>
      <c r="J49" s="8" t="n">
        <v>1</v>
      </c>
      <c r="K49" s="8" t="n">
        <v>0</v>
      </c>
      <c r="L49" s="8" t="n">
        <v>1</v>
      </c>
      <c r="M49" s="8" t="n">
        <v>9</v>
      </c>
      <c r="N49" s="8" t="n">
        <v>2</v>
      </c>
      <c r="O49" s="8" t="n">
        <v>8</v>
      </c>
      <c r="P49" s="8" t="n">
        <v>5</v>
      </c>
      <c r="Q49" s="8" t="n">
        <v>4</v>
      </c>
      <c r="R49" s="8" t="n">
        <v>4</v>
      </c>
      <c r="S49" s="8" t="n">
        <v>29</v>
      </c>
      <c r="T49" s="8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</cols>
  <sheetData>
    <row r="1">
      <c r="A1" s="5" t="inlineStr">
        <is>
          <t>衡量指标</t>
        </is>
      </c>
      <c r="B1" s="6" t="inlineStr">
        <is>
          <t>中央媒体-主题丰富度</t>
        </is>
      </c>
    </row>
    <row r="2">
      <c r="A2" s="5" t="inlineStr">
        <is>
          <t>一级权重</t>
        </is>
      </c>
      <c r="B2" s="6" t="inlineStr">
        <is>
          <t>45%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央视/人民/光明/新华 4 家</t>
        </is>
      </c>
    </row>
    <row r="5">
      <c r="A5" s="5" t="inlineStr">
        <is>
          <t>公式</t>
        </is>
      </c>
      <c r="B5" s="6" t="inlineStr">
        <is>
          <t>F = 1 / Σ |p_t − 1/N| ; p_t = 某主题命中数 / 该(区县,tier)总命中 ; N=16</t>
        </is>
      </c>
    </row>
    <row r="6">
      <c r="A6" s="5" t="inlineStr">
        <is>
          <t>中间列说明</t>
        </is>
      </c>
      <c r="B6" s="6" t="inlineStr">
        <is>
          <t>16 主题占比 (%) → |p_t − 1/16| 各项 → Σ → F = 1/Σ → 区间化得分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 F 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低碳经济占比%</t>
        </is>
      </c>
      <c r="D10" s="7" t="inlineStr">
        <is>
          <t>制度建设占比%</t>
        </is>
      </c>
      <c r="E10" s="7" t="inlineStr">
        <is>
          <t>双碳占比%</t>
        </is>
      </c>
      <c r="F10" s="7" t="inlineStr">
        <is>
          <t>和谐共生占比%</t>
        </is>
      </c>
      <c r="G10" s="7" t="inlineStr">
        <is>
          <t>国家公园占比%</t>
        </is>
      </c>
      <c r="H10" s="7" t="inlineStr">
        <is>
          <t>污染防治攻坚战占比%</t>
        </is>
      </c>
      <c r="I10" s="7" t="inlineStr">
        <is>
          <t>清洁能源占比%</t>
        </is>
      </c>
      <c r="J10" s="7" t="inlineStr">
        <is>
          <t>环保督察占比%</t>
        </is>
      </c>
      <c r="K10" s="7" t="inlineStr">
        <is>
          <t>生态红线占比%</t>
        </is>
      </c>
      <c r="L10" s="7" t="inlineStr">
        <is>
          <t>生物多样性占比%</t>
        </is>
      </c>
      <c r="M10" s="7" t="inlineStr">
        <is>
          <t>综合治理占比%</t>
        </is>
      </c>
      <c r="N10" s="7" t="inlineStr">
        <is>
          <t>绿水青山占比%</t>
        </is>
      </c>
      <c r="O10" s="7" t="inlineStr">
        <is>
          <t>绿色发展占比%</t>
        </is>
      </c>
      <c r="P10" s="7" t="inlineStr">
        <is>
          <t>美丽中国占比%</t>
        </is>
      </c>
      <c r="Q10" s="7" t="inlineStr">
        <is>
          <t>资源节约占比%</t>
        </is>
      </c>
      <c r="R10" s="7" t="inlineStr">
        <is>
          <t>长江生态占比%</t>
        </is>
      </c>
      <c r="S10" s="7" t="inlineStr">
        <is>
          <t>|低碳经济-1/16|</t>
        </is>
      </c>
      <c r="T10" s="7" t="inlineStr">
        <is>
          <t>|制度建设-1/16|</t>
        </is>
      </c>
      <c r="U10" s="7" t="inlineStr">
        <is>
          <t>|双碳-1/16|</t>
        </is>
      </c>
      <c r="V10" s="7" t="inlineStr">
        <is>
          <t>|和谐共生-1/16|</t>
        </is>
      </c>
      <c r="W10" s="7" t="inlineStr">
        <is>
          <t>|国家公园-1/16|</t>
        </is>
      </c>
      <c r="X10" s="7" t="inlineStr">
        <is>
          <t>|污染防治攻坚战-1/16|</t>
        </is>
      </c>
      <c r="Y10" s="7" t="inlineStr">
        <is>
          <t>|清洁能源-1/16|</t>
        </is>
      </c>
      <c r="Z10" s="7" t="inlineStr">
        <is>
          <t>|环保督察-1/16|</t>
        </is>
      </c>
      <c r="AA10" s="7" t="inlineStr">
        <is>
          <t>|生态红线-1/16|</t>
        </is>
      </c>
      <c r="AB10" s="7" t="inlineStr">
        <is>
          <t>|生物多样性-1/16|</t>
        </is>
      </c>
      <c r="AC10" s="7" t="inlineStr">
        <is>
          <t>|综合治理-1/16|</t>
        </is>
      </c>
      <c r="AD10" s="7" t="inlineStr">
        <is>
          <t>|绿水青山-1/16|</t>
        </is>
      </c>
      <c r="AE10" s="7" t="inlineStr">
        <is>
          <t>|绿色发展-1/16|</t>
        </is>
      </c>
      <c r="AF10" s="7" t="inlineStr">
        <is>
          <t>|美丽中国-1/16|</t>
        </is>
      </c>
      <c r="AG10" s="7" t="inlineStr">
        <is>
          <t>|资源节约-1/16|</t>
        </is>
      </c>
      <c r="AH10" s="7" t="inlineStr">
        <is>
          <t>|长江生态-1/16|</t>
        </is>
      </c>
      <c r="AI10" s="7" t="inlineStr">
        <is>
          <t>Σ|p-1/16|</t>
        </is>
      </c>
      <c r="AJ10" s="7" t="inlineStr">
        <is>
          <t>F = 1/Σ</t>
        </is>
      </c>
      <c r="AK10" s="7" t="inlineStr">
        <is>
          <t>丰富度得分 (65-95)</t>
        </is>
      </c>
    </row>
    <row r="11">
      <c r="A11" s="8" t="n">
        <v>1</v>
      </c>
      <c r="B11" s="8" t="inlineStr">
        <is>
          <t>北碚区</t>
        </is>
      </c>
      <c r="C11" s="8" t="n">
        <v>3.32</v>
      </c>
      <c r="D11" s="8" t="n">
        <v>6.16</v>
      </c>
      <c r="E11" s="8" t="n">
        <v>3.79</v>
      </c>
      <c r="F11" s="8" t="n">
        <v>6.64</v>
      </c>
      <c r="G11" s="8" t="n">
        <v>4.27</v>
      </c>
      <c r="H11" s="8" t="n">
        <v>6.64</v>
      </c>
      <c r="I11" s="8" t="n">
        <v>9</v>
      </c>
      <c r="J11" s="8" t="n">
        <v>0</v>
      </c>
      <c r="K11" s="8" t="n">
        <v>4.74</v>
      </c>
      <c r="L11" s="8" t="n">
        <v>5.21</v>
      </c>
      <c r="M11" s="8" t="n">
        <v>16.11</v>
      </c>
      <c r="N11" s="8" t="n">
        <v>11.85</v>
      </c>
      <c r="O11" s="8" t="n">
        <v>11.85</v>
      </c>
      <c r="P11" s="8" t="n">
        <v>7.11</v>
      </c>
      <c r="Q11" s="8" t="n">
        <v>0.47</v>
      </c>
      <c r="R11" s="8" t="n">
        <v>2.84</v>
      </c>
      <c r="S11" s="8" t="n">
        <v>0.0293</v>
      </c>
      <c r="T11" s="8" t="n">
        <v>0.0009</v>
      </c>
      <c r="U11" s="8" t="n">
        <v>0.0246</v>
      </c>
      <c r="V11" s="8" t="n">
        <v>0.0039</v>
      </c>
      <c r="W11" s="8" t="n">
        <v>0.0198</v>
      </c>
      <c r="X11" s="8" t="n">
        <v>0.0039</v>
      </c>
      <c r="Y11" s="8" t="n">
        <v>0.0275</v>
      </c>
      <c r="Z11" s="8" t="n">
        <v>0.0625</v>
      </c>
      <c r="AA11" s="8" t="n">
        <v>0.0151</v>
      </c>
      <c r="AB11" s="8" t="n">
        <v>0.0104</v>
      </c>
      <c r="AC11" s="8" t="n">
        <v>0.09859999999999999</v>
      </c>
      <c r="AD11" s="8" t="n">
        <v>0.056</v>
      </c>
      <c r="AE11" s="8" t="n">
        <v>0.056</v>
      </c>
      <c r="AF11" s="8" t="n">
        <v>0.0086</v>
      </c>
      <c r="AG11" s="8" t="n">
        <v>0.0578</v>
      </c>
      <c r="AH11" s="8" t="n">
        <v>0.0341</v>
      </c>
      <c r="AI11" s="8" t="n">
        <v>0.5089</v>
      </c>
      <c r="AJ11" s="8" t="n">
        <v>1.9651</v>
      </c>
      <c r="AK11" s="8" t="n">
        <v>95</v>
      </c>
    </row>
    <row r="12">
      <c r="A12" s="9" t="n">
        <v>2</v>
      </c>
      <c r="B12" s="9" t="inlineStr">
        <is>
          <t>黔江区</t>
        </is>
      </c>
      <c r="C12" s="9" t="n">
        <v>0</v>
      </c>
      <c r="D12" s="9" t="n">
        <v>10.6</v>
      </c>
      <c r="E12" s="9" t="n">
        <v>1.99</v>
      </c>
      <c r="F12" s="9" t="n">
        <v>3.97</v>
      </c>
      <c r="G12" s="9" t="n">
        <v>4.64</v>
      </c>
      <c r="H12" s="9" t="n">
        <v>7.28</v>
      </c>
      <c r="I12" s="9" t="n">
        <v>11.26</v>
      </c>
      <c r="J12" s="9" t="n">
        <v>0.66</v>
      </c>
      <c r="K12" s="9" t="n">
        <v>5.96</v>
      </c>
      <c r="L12" s="9" t="n">
        <v>7.28</v>
      </c>
      <c r="M12" s="9" t="n">
        <v>17.88</v>
      </c>
      <c r="N12" s="9" t="n">
        <v>6.62</v>
      </c>
      <c r="O12" s="9" t="n">
        <v>7.28</v>
      </c>
      <c r="P12" s="9" t="n">
        <v>6.62</v>
      </c>
      <c r="Q12" s="9" t="n">
        <v>0.66</v>
      </c>
      <c r="R12" s="9" t="n">
        <v>7.28</v>
      </c>
      <c r="S12" s="9" t="n">
        <v>0.0625</v>
      </c>
      <c r="T12" s="9" t="n">
        <v>0.0435</v>
      </c>
      <c r="U12" s="9" t="n">
        <v>0.0426</v>
      </c>
      <c r="V12" s="9" t="n">
        <v>0.0228</v>
      </c>
      <c r="W12" s="9" t="n">
        <v>0.0161</v>
      </c>
      <c r="X12" s="9" t="n">
        <v>0.0103</v>
      </c>
      <c r="Y12" s="9" t="n">
        <v>0.0501</v>
      </c>
      <c r="Z12" s="9" t="n">
        <v>0.0559</v>
      </c>
      <c r="AA12" s="9" t="n">
        <v>0.0029</v>
      </c>
      <c r="AB12" s="9" t="n">
        <v>0.0103</v>
      </c>
      <c r="AC12" s="9" t="n">
        <v>0.1163</v>
      </c>
      <c r="AD12" s="9" t="n">
        <v>0.0037</v>
      </c>
      <c r="AE12" s="9" t="n">
        <v>0.0103</v>
      </c>
      <c r="AF12" s="9" t="n">
        <v>0.0037</v>
      </c>
      <c r="AG12" s="9" t="n">
        <v>0.0559</v>
      </c>
      <c r="AH12" s="9" t="n">
        <v>0.0103</v>
      </c>
      <c r="AI12" s="9" t="n">
        <v>0.5174</v>
      </c>
      <c r="AJ12" s="9" t="n">
        <v>1.9328</v>
      </c>
      <c r="AK12" s="9" t="n">
        <v>93.97</v>
      </c>
    </row>
    <row r="13">
      <c r="A13" s="8" t="n">
        <v>3</v>
      </c>
      <c r="B13" s="8" t="inlineStr">
        <is>
          <t>巫溪县</t>
        </is>
      </c>
      <c r="C13" s="8" t="n">
        <v>0</v>
      </c>
      <c r="D13" s="8" t="n">
        <v>8.539999999999999</v>
      </c>
      <c r="E13" s="8" t="n">
        <v>2.44</v>
      </c>
      <c r="F13" s="8" t="n">
        <v>6.1</v>
      </c>
      <c r="G13" s="8" t="n">
        <v>6.1</v>
      </c>
      <c r="H13" s="8" t="n">
        <v>10.98</v>
      </c>
      <c r="I13" s="8" t="n">
        <v>14.63</v>
      </c>
      <c r="J13" s="8" t="n">
        <v>0</v>
      </c>
      <c r="K13" s="8" t="n">
        <v>3.66</v>
      </c>
      <c r="L13" s="8" t="n">
        <v>7.32</v>
      </c>
      <c r="M13" s="8" t="n">
        <v>15.85</v>
      </c>
      <c r="N13" s="8" t="n">
        <v>7.32</v>
      </c>
      <c r="O13" s="8" t="n">
        <v>6.1</v>
      </c>
      <c r="P13" s="8" t="n">
        <v>3.66</v>
      </c>
      <c r="Q13" s="8" t="n">
        <v>0</v>
      </c>
      <c r="R13" s="8" t="n">
        <v>7.32</v>
      </c>
      <c r="S13" s="8" t="n">
        <v>0.0625</v>
      </c>
      <c r="T13" s="8" t="n">
        <v>0.0229</v>
      </c>
      <c r="U13" s="8" t="n">
        <v>0.0381</v>
      </c>
      <c r="V13" s="8" t="n">
        <v>0.0015</v>
      </c>
      <c r="W13" s="8" t="n">
        <v>0.0015</v>
      </c>
      <c r="X13" s="8" t="n">
        <v>0.0473</v>
      </c>
      <c r="Y13" s="8" t="n">
        <v>0.0838</v>
      </c>
      <c r="Z13" s="8" t="n">
        <v>0.0625</v>
      </c>
      <c r="AA13" s="8" t="n">
        <v>0.0259</v>
      </c>
      <c r="AB13" s="8" t="n">
        <v>0.0107</v>
      </c>
      <c r="AC13" s="8" t="n">
        <v>0.096</v>
      </c>
      <c r="AD13" s="8" t="n">
        <v>0.0107</v>
      </c>
      <c r="AE13" s="8" t="n">
        <v>0.0015</v>
      </c>
      <c r="AF13" s="8" t="n">
        <v>0.0259</v>
      </c>
      <c r="AG13" s="8" t="n">
        <v>0.0625</v>
      </c>
      <c r="AH13" s="8" t="n">
        <v>0.0107</v>
      </c>
      <c r="AI13" s="8" t="n">
        <v>0.5639999999999999</v>
      </c>
      <c r="AJ13" s="8" t="n">
        <v>1.773</v>
      </c>
      <c r="AK13" s="8" t="n">
        <v>88.87</v>
      </c>
    </row>
    <row r="14">
      <c r="A14" s="9" t="n">
        <v>4</v>
      </c>
      <c r="B14" s="9" t="inlineStr">
        <is>
          <t>开州区</t>
        </is>
      </c>
      <c r="C14" s="9" t="n">
        <v>1.17</v>
      </c>
      <c r="D14" s="9" t="n">
        <v>6.64</v>
      </c>
      <c r="E14" s="9" t="n">
        <v>2.34</v>
      </c>
      <c r="F14" s="9" t="n">
        <v>5.86</v>
      </c>
      <c r="G14" s="9" t="n">
        <v>2.73</v>
      </c>
      <c r="H14" s="9" t="n">
        <v>7.03</v>
      </c>
      <c r="I14" s="9" t="n">
        <v>8.199999999999999</v>
      </c>
      <c r="J14" s="9" t="n">
        <v>0.39</v>
      </c>
      <c r="K14" s="9" t="n">
        <v>2.34</v>
      </c>
      <c r="L14" s="9" t="n">
        <v>6.64</v>
      </c>
      <c r="M14" s="9" t="n">
        <v>18.75</v>
      </c>
      <c r="N14" s="9" t="n">
        <v>11.72</v>
      </c>
      <c r="O14" s="9" t="n">
        <v>10.94</v>
      </c>
      <c r="P14" s="9" t="n">
        <v>6.25</v>
      </c>
      <c r="Q14" s="9" t="n">
        <v>0.39</v>
      </c>
      <c r="R14" s="9" t="n">
        <v>8.59</v>
      </c>
      <c r="S14" s="9" t="n">
        <v>0.0508</v>
      </c>
      <c r="T14" s="9" t="n">
        <v>0.0039</v>
      </c>
      <c r="U14" s="9" t="n">
        <v>0.0391</v>
      </c>
      <c r="V14" s="9" t="n">
        <v>0.0039</v>
      </c>
      <c r="W14" s="9" t="n">
        <v>0.0352</v>
      </c>
      <c r="X14" s="9" t="n">
        <v>0.0078</v>
      </c>
      <c r="Y14" s="9" t="n">
        <v>0.0195</v>
      </c>
      <c r="Z14" s="9" t="n">
        <v>0.0586</v>
      </c>
      <c r="AA14" s="9" t="n">
        <v>0.0391</v>
      </c>
      <c r="AB14" s="9" t="n">
        <v>0.0039</v>
      </c>
      <c r="AC14" s="9" t="n">
        <v>0.125</v>
      </c>
      <c r="AD14" s="9" t="n">
        <v>0.0547</v>
      </c>
      <c r="AE14" s="9" t="n">
        <v>0.0469</v>
      </c>
      <c r="AF14" s="9" t="n">
        <v>0</v>
      </c>
      <c r="AG14" s="9" t="n">
        <v>0.0586</v>
      </c>
      <c r="AH14" s="9" t="n">
        <v>0.0234</v>
      </c>
      <c r="AI14" s="9" t="n">
        <v>0.5703</v>
      </c>
      <c r="AJ14" s="9" t="n">
        <v>1.7534</v>
      </c>
      <c r="AK14" s="9" t="n">
        <v>88.23999999999999</v>
      </c>
    </row>
    <row r="15">
      <c r="A15" s="8" t="n">
        <v>5</v>
      </c>
      <c r="B15" s="8" t="inlineStr">
        <is>
          <t>长寿区</t>
        </is>
      </c>
      <c r="C15" s="8" t="n">
        <v>0.41</v>
      </c>
      <c r="D15" s="8" t="n">
        <v>6.11</v>
      </c>
      <c r="E15" s="8" t="n">
        <v>8.15</v>
      </c>
      <c r="F15" s="8" t="n">
        <v>7.33</v>
      </c>
      <c r="G15" s="8" t="n">
        <v>3.46</v>
      </c>
      <c r="H15" s="8" t="n">
        <v>6.92</v>
      </c>
      <c r="I15" s="8" t="n">
        <v>8.76</v>
      </c>
      <c r="J15" s="8" t="n">
        <v>0.8100000000000001</v>
      </c>
      <c r="K15" s="8" t="n">
        <v>0.61</v>
      </c>
      <c r="L15" s="8" t="n">
        <v>3.67</v>
      </c>
      <c r="M15" s="8" t="n">
        <v>12.63</v>
      </c>
      <c r="N15" s="8" t="n">
        <v>13.24</v>
      </c>
      <c r="O15" s="8" t="n">
        <v>17.11</v>
      </c>
      <c r="P15" s="8" t="n">
        <v>4.07</v>
      </c>
      <c r="Q15" s="8" t="n">
        <v>1.02</v>
      </c>
      <c r="R15" s="8" t="n">
        <v>5.7</v>
      </c>
      <c r="S15" s="8" t="n">
        <v>0.0584</v>
      </c>
      <c r="T15" s="8" t="n">
        <v>0.0014</v>
      </c>
      <c r="U15" s="8" t="n">
        <v>0.019</v>
      </c>
      <c r="V15" s="8" t="n">
        <v>0.0108</v>
      </c>
      <c r="W15" s="8" t="n">
        <v>0.0279</v>
      </c>
      <c r="X15" s="8" t="n">
        <v>0.0067</v>
      </c>
      <c r="Y15" s="8" t="n">
        <v>0.0251</v>
      </c>
      <c r="Z15" s="8" t="n">
        <v>0.0544</v>
      </c>
      <c r="AA15" s="8" t="n">
        <v>0.0564</v>
      </c>
      <c r="AB15" s="8" t="n">
        <v>0.0258</v>
      </c>
      <c r="AC15" s="8" t="n">
        <v>0.0638</v>
      </c>
      <c r="AD15" s="8" t="n">
        <v>0.0699</v>
      </c>
      <c r="AE15" s="8" t="n">
        <v>0.1086</v>
      </c>
      <c r="AF15" s="8" t="n">
        <v>0.0218</v>
      </c>
      <c r="AG15" s="8" t="n">
        <v>0.0523</v>
      </c>
      <c r="AH15" s="8" t="n">
        <v>0.0055</v>
      </c>
      <c r="AI15" s="8" t="n">
        <v>0.6077</v>
      </c>
      <c r="AJ15" s="8" t="n">
        <v>1.6456</v>
      </c>
      <c r="AK15" s="8" t="n">
        <v>84.8</v>
      </c>
    </row>
    <row r="16">
      <c r="A16" s="9" t="n">
        <v>6</v>
      </c>
      <c r="B16" s="9" t="inlineStr">
        <is>
          <t>武隆区</t>
        </is>
      </c>
      <c r="C16" s="9" t="n">
        <v>0</v>
      </c>
      <c r="D16" s="9" t="n">
        <v>8.42</v>
      </c>
      <c r="E16" s="9" t="n">
        <v>2.11</v>
      </c>
      <c r="F16" s="9" t="n">
        <v>4.21</v>
      </c>
      <c r="G16" s="9" t="n">
        <v>7.89</v>
      </c>
      <c r="H16" s="9" t="n">
        <v>5.26</v>
      </c>
      <c r="I16" s="9" t="n">
        <v>8.949999999999999</v>
      </c>
      <c r="J16" s="9" t="n">
        <v>0</v>
      </c>
      <c r="K16" s="9" t="n">
        <v>4.21</v>
      </c>
      <c r="L16" s="9" t="n">
        <v>8.949999999999999</v>
      </c>
      <c r="M16" s="9" t="n">
        <v>16.84</v>
      </c>
      <c r="N16" s="9" t="n">
        <v>18.95</v>
      </c>
      <c r="O16" s="9" t="n">
        <v>5.26</v>
      </c>
      <c r="P16" s="9" t="n">
        <v>4.74</v>
      </c>
      <c r="Q16" s="9" t="n">
        <v>0</v>
      </c>
      <c r="R16" s="9" t="n">
        <v>4.21</v>
      </c>
      <c r="S16" s="9" t="n">
        <v>0.0625</v>
      </c>
      <c r="T16" s="9" t="n">
        <v>0.0217</v>
      </c>
      <c r="U16" s="9" t="n">
        <v>0.0414</v>
      </c>
      <c r="V16" s="9" t="n">
        <v>0.0204</v>
      </c>
      <c r="W16" s="9" t="n">
        <v>0.0164</v>
      </c>
      <c r="X16" s="9" t="n">
        <v>0.009900000000000001</v>
      </c>
      <c r="Y16" s="9" t="n">
        <v>0.027</v>
      </c>
      <c r="Z16" s="9" t="n">
        <v>0.0625</v>
      </c>
      <c r="AA16" s="9" t="n">
        <v>0.0204</v>
      </c>
      <c r="AB16" s="9" t="n">
        <v>0.027</v>
      </c>
      <c r="AC16" s="9" t="n">
        <v>0.1059</v>
      </c>
      <c r="AD16" s="9" t="n">
        <v>0.127</v>
      </c>
      <c r="AE16" s="9" t="n">
        <v>0.009900000000000001</v>
      </c>
      <c r="AF16" s="9" t="n">
        <v>0.0151</v>
      </c>
      <c r="AG16" s="9" t="n">
        <v>0.0625</v>
      </c>
      <c r="AH16" s="9" t="n">
        <v>0.0204</v>
      </c>
      <c r="AI16" s="9" t="n">
        <v>0.65</v>
      </c>
      <c r="AJ16" s="9" t="n">
        <v>1.5385</v>
      </c>
      <c r="AK16" s="9" t="n">
        <v>81.38</v>
      </c>
    </row>
    <row r="17">
      <c r="A17" s="8" t="n">
        <v>7</v>
      </c>
      <c r="B17" s="8" t="inlineStr">
        <is>
          <t>两江新区</t>
        </is>
      </c>
      <c r="C17" s="8" t="n">
        <v>2.72</v>
      </c>
      <c r="D17" s="8" t="n">
        <v>8.91</v>
      </c>
      <c r="E17" s="8" t="n">
        <v>4.95</v>
      </c>
      <c r="F17" s="8" t="n">
        <v>7.43</v>
      </c>
      <c r="G17" s="8" t="n">
        <v>0</v>
      </c>
      <c r="H17" s="8" t="n">
        <v>6.44</v>
      </c>
      <c r="I17" s="8" t="n">
        <v>12.62</v>
      </c>
      <c r="J17" s="8" t="n">
        <v>0.99</v>
      </c>
      <c r="K17" s="8" t="n">
        <v>0.5</v>
      </c>
      <c r="L17" s="8" t="n">
        <v>2.72</v>
      </c>
      <c r="M17" s="8" t="n">
        <v>11.14</v>
      </c>
      <c r="N17" s="8" t="n">
        <v>7.43</v>
      </c>
      <c r="O17" s="8" t="n">
        <v>22.52</v>
      </c>
      <c r="P17" s="8" t="n">
        <v>5.2</v>
      </c>
      <c r="Q17" s="8" t="n">
        <v>0.25</v>
      </c>
      <c r="R17" s="8" t="n">
        <v>6.19</v>
      </c>
      <c r="S17" s="8" t="n">
        <v>0.0353</v>
      </c>
      <c r="T17" s="8" t="n">
        <v>0.0266</v>
      </c>
      <c r="U17" s="8" t="n">
        <v>0.013</v>
      </c>
      <c r="V17" s="8" t="n">
        <v>0.0118</v>
      </c>
      <c r="W17" s="8" t="n">
        <v>0.0625</v>
      </c>
      <c r="X17" s="8" t="n">
        <v>0.0019</v>
      </c>
      <c r="Y17" s="8" t="n">
        <v>0.06370000000000001</v>
      </c>
      <c r="Z17" s="8" t="n">
        <v>0.0526</v>
      </c>
      <c r="AA17" s="8" t="n">
        <v>0.0575</v>
      </c>
      <c r="AB17" s="8" t="n">
        <v>0.0353</v>
      </c>
      <c r="AC17" s="8" t="n">
        <v>0.0489</v>
      </c>
      <c r="AD17" s="8" t="n">
        <v>0.0118</v>
      </c>
      <c r="AE17" s="8" t="n">
        <v>0.1627</v>
      </c>
      <c r="AF17" s="8" t="n">
        <v>0.0105</v>
      </c>
      <c r="AG17" s="8" t="n">
        <v>0.06</v>
      </c>
      <c r="AH17" s="8" t="n">
        <v>0.0005999999999999999</v>
      </c>
      <c r="AI17" s="8" t="n">
        <v>0.6546999999999999</v>
      </c>
      <c r="AJ17" s="8" t="n">
        <v>1.5274</v>
      </c>
      <c r="AK17" s="8" t="n">
        <v>81.02</v>
      </c>
    </row>
    <row r="18">
      <c r="A18" s="9" t="n">
        <v>8</v>
      </c>
      <c r="B18" s="9" t="inlineStr">
        <is>
          <t>巫山县</t>
        </is>
      </c>
      <c r="C18" s="9" t="n">
        <v>0</v>
      </c>
      <c r="D18" s="9" t="n">
        <v>7.65</v>
      </c>
      <c r="E18" s="9" t="n">
        <v>0.92</v>
      </c>
      <c r="F18" s="9" t="n">
        <v>7.34</v>
      </c>
      <c r="G18" s="9" t="n">
        <v>3.06</v>
      </c>
      <c r="H18" s="9" t="n">
        <v>8.56</v>
      </c>
      <c r="I18" s="9" t="n">
        <v>8.56</v>
      </c>
      <c r="J18" s="9" t="n">
        <v>0</v>
      </c>
      <c r="K18" s="9" t="n">
        <v>3.06</v>
      </c>
      <c r="L18" s="9" t="n">
        <v>3.36</v>
      </c>
      <c r="M18" s="9" t="n">
        <v>14.37</v>
      </c>
      <c r="N18" s="9" t="n">
        <v>14.98</v>
      </c>
      <c r="O18" s="9" t="n">
        <v>13.15</v>
      </c>
      <c r="P18" s="9" t="n">
        <v>7.65</v>
      </c>
      <c r="Q18" s="9" t="n">
        <v>0</v>
      </c>
      <c r="R18" s="9" t="n">
        <v>7.34</v>
      </c>
      <c r="S18" s="9" t="n">
        <v>0.0625</v>
      </c>
      <c r="T18" s="9" t="n">
        <v>0.014</v>
      </c>
      <c r="U18" s="9" t="n">
        <v>0.0533</v>
      </c>
      <c r="V18" s="9" t="n">
        <v>0.0109</v>
      </c>
      <c r="W18" s="9" t="n">
        <v>0.0319</v>
      </c>
      <c r="X18" s="9" t="n">
        <v>0.0231</v>
      </c>
      <c r="Y18" s="9" t="n">
        <v>0.0231</v>
      </c>
      <c r="Z18" s="9" t="n">
        <v>0.0625</v>
      </c>
      <c r="AA18" s="9" t="n">
        <v>0.0319</v>
      </c>
      <c r="AB18" s="9" t="n">
        <v>0.0289</v>
      </c>
      <c r="AC18" s="9" t="n">
        <v>0.08119999999999999</v>
      </c>
      <c r="AD18" s="9" t="n">
        <v>0.0873</v>
      </c>
      <c r="AE18" s="9" t="n">
        <v>0.06900000000000001</v>
      </c>
      <c r="AF18" s="9" t="n">
        <v>0.014</v>
      </c>
      <c r="AG18" s="9" t="n">
        <v>0.0625</v>
      </c>
      <c r="AH18" s="9" t="n">
        <v>0.0109</v>
      </c>
      <c r="AI18" s="9" t="n">
        <v>0.667</v>
      </c>
      <c r="AJ18" s="9" t="n">
        <v>1.4991</v>
      </c>
      <c r="AK18" s="9" t="n">
        <v>80.12</v>
      </c>
    </row>
    <row r="19">
      <c r="A19" s="8" t="n">
        <v>9</v>
      </c>
      <c r="B19" s="8" t="inlineStr">
        <is>
          <t>万州区</t>
        </is>
      </c>
      <c r="C19" s="8" t="n">
        <v>0</v>
      </c>
      <c r="D19" s="8" t="n">
        <v>6.4</v>
      </c>
      <c r="E19" s="8" t="n">
        <v>4.43</v>
      </c>
      <c r="F19" s="8" t="n">
        <v>4.43</v>
      </c>
      <c r="G19" s="8" t="n">
        <v>1.48</v>
      </c>
      <c r="H19" s="8" t="n">
        <v>3.94</v>
      </c>
      <c r="I19" s="8" t="n">
        <v>7.39</v>
      </c>
      <c r="J19" s="8" t="n">
        <v>1.97</v>
      </c>
      <c r="K19" s="8" t="n">
        <v>1.48</v>
      </c>
      <c r="L19" s="8" t="n">
        <v>4.43</v>
      </c>
      <c r="M19" s="8" t="n">
        <v>11.33</v>
      </c>
      <c r="N19" s="8" t="n">
        <v>8.869999999999999</v>
      </c>
      <c r="O19" s="8" t="n">
        <v>13.3</v>
      </c>
      <c r="P19" s="8" t="n">
        <v>7.39</v>
      </c>
      <c r="Q19" s="8" t="n">
        <v>0.49</v>
      </c>
      <c r="R19" s="8" t="n">
        <v>22.66</v>
      </c>
      <c r="S19" s="8" t="n">
        <v>0.0625</v>
      </c>
      <c r="T19" s="8" t="n">
        <v>0.0015</v>
      </c>
      <c r="U19" s="8" t="n">
        <v>0.0182</v>
      </c>
      <c r="V19" s="8" t="n">
        <v>0.0182</v>
      </c>
      <c r="W19" s="8" t="n">
        <v>0.0477</v>
      </c>
      <c r="X19" s="8" t="n">
        <v>0.0231</v>
      </c>
      <c r="Y19" s="8" t="n">
        <v>0.0114</v>
      </c>
      <c r="Z19" s="8" t="n">
        <v>0.0428</v>
      </c>
      <c r="AA19" s="8" t="n">
        <v>0.0477</v>
      </c>
      <c r="AB19" s="8" t="n">
        <v>0.0182</v>
      </c>
      <c r="AC19" s="8" t="n">
        <v>0.0508</v>
      </c>
      <c r="AD19" s="8" t="n">
        <v>0.0262</v>
      </c>
      <c r="AE19" s="8" t="n">
        <v>0.07049999999999999</v>
      </c>
      <c r="AF19" s="8" t="n">
        <v>0.0114</v>
      </c>
      <c r="AG19" s="8" t="n">
        <v>0.0576</v>
      </c>
      <c r="AH19" s="8" t="n">
        <v>0.1641</v>
      </c>
      <c r="AI19" s="8" t="n">
        <v>0.6718</v>
      </c>
      <c r="AJ19" s="8" t="n">
        <v>1.4885</v>
      </c>
      <c r="AK19" s="8" t="n">
        <v>79.78</v>
      </c>
    </row>
    <row r="20">
      <c r="A20" s="9" t="n">
        <v>10</v>
      </c>
      <c r="B20" s="9" t="inlineStr">
        <is>
          <t>九龙坡区</t>
        </is>
      </c>
      <c r="C20" s="9" t="n">
        <v>1.61</v>
      </c>
      <c r="D20" s="9" t="n">
        <v>9.140000000000001</v>
      </c>
      <c r="E20" s="9" t="n">
        <v>9.68</v>
      </c>
      <c r="F20" s="9" t="n">
        <v>7.53</v>
      </c>
      <c r="G20" s="9" t="n">
        <v>5.91</v>
      </c>
      <c r="H20" s="9" t="n">
        <v>4.84</v>
      </c>
      <c r="I20" s="9" t="n">
        <v>4.84</v>
      </c>
      <c r="J20" s="9" t="n">
        <v>0</v>
      </c>
      <c r="K20" s="9" t="n">
        <v>1.61</v>
      </c>
      <c r="L20" s="9" t="n">
        <v>0.54</v>
      </c>
      <c r="M20" s="9" t="n">
        <v>15.05</v>
      </c>
      <c r="N20" s="9" t="n">
        <v>3.23</v>
      </c>
      <c r="O20" s="9" t="n">
        <v>16.67</v>
      </c>
      <c r="P20" s="9" t="n">
        <v>5.38</v>
      </c>
      <c r="Q20" s="9" t="n">
        <v>0.54</v>
      </c>
      <c r="R20" s="9" t="n">
        <v>13.44</v>
      </c>
      <c r="S20" s="9" t="n">
        <v>0.0464</v>
      </c>
      <c r="T20" s="9" t="n">
        <v>0.0289</v>
      </c>
      <c r="U20" s="9" t="n">
        <v>0.0343</v>
      </c>
      <c r="V20" s="9" t="n">
        <v>0.0128</v>
      </c>
      <c r="W20" s="9" t="n">
        <v>0.0034</v>
      </c>
      <c r="X20" s="9" t="n">
        <v>0.0141</v>
      </c>
      <c r="Y20" s="9" t="n">
        <v>0.0141</v>
      </c>
      <c r="Z20" s="9" t="n">
        <v>0.0625</v>
      </c>
      <c r="AA20" s="9" t="n">
        <v>0.0464</v>
      </c>
      <c r="AB20" s="9" t="n">
        <v>0.0571</v>
      </c>
      <c r="AC20" s="9" t="n">
        <v>0.08799999999999999</v>
      </c>
      <c r="AD20" s="9" t="n">
        <v>0.0302</v>
      </c>
      <c r="AE20" s="9" t="n">
        <v>0.1042</v>
      </c>
      <c r="AF20" s="9" t="n">
        <v>0.008699999999999999</v>
      </c>
      <c r="AG20" s="9" t="n">
        <v>0.0571</v>
      </c>
      <c r="AH20" s="9" t="n">
        <v>0.07190000000000001</v>
      </c>
      <c r="AI20" s="9" t="n">
        <v>0.6801</v>
      </c>
      <c r="AJ20" s="9" t="n">
        <v>1.4704</v>
      </c>
      <c r="AK20" s="9" t="n">
        <v>79.2</v>
      </c>
    </row>
    <row r="21">
      <c r="A21" s="8" t="n">
        <v>11</v>
      </c>
      <c r="B21" s="8" t="inlineStr">
        <is>
          <t>石柱县</t>
        </is>
      </c>
      <c r="C21" s="8" t="n">
        <v>0</v>
      </c>
      <c r="D21" s="8" t="n">
        <v>12.92</v>
      </c>
      <c r="E21" s="8" t="n">
        <v>1.12</v>
      </c>
      <c r="F21" s="8" t="n">
        <v>5.06</v>
      </c>
      <c r="G21" s="8" t="n">
        <v>6.74</v>
      </c>
      <c r="H21" s="8" t="n">
        <v>7.3</v>
      </c>
      <c r="I21" s="8" t="n">
        <v>9.550000000000001</v>
      </c>
      <c r="J21" s="8" t="n">
        <v>0.5600000000000001</v>
      </c>
      <c r="K21" s="8" t="n">
        <v>1.69</v>
      </c>
      <c r="L21" s="8" t="n">
        <v>8.43</v>
      </c>
      <c r="M21" s="8" t="n">
        <v>17.98</v>
      </c>
      <c r="N21" s="8" t="n">
        <v>12.36</v>
      </c>
      <c r="O21" s="8" t="n">
        <v>8.99</v>
      </c>
      <c r="P21" s="8" t="n">
        <v>1.69</v>
      </c>
      <c r="Q21" s="8" t="n">
        <v>0.5600000000000001</v>
      </c>
      <c r="R21" s="8" t="n">
        <v>5.06</v>
      </c>
      <c r="S21" s="8" t="n">
        <v>0.0625</v>
      </c>
      <c r="T21" s="8" t="n">
        <v>0.0667</v>
      </c>
      <c r="U21" s="8" t="n">
        <v>0.0513</v>
      </c>
      <c r="V21" s="8" t="n">
        <v>0.0119</v>
      </c>
      <c r="W21" s="8" t="n">
        <v>0.0049</v>
      </c>
      <c r="X21" s="8" t="n">
        <v>0.0105</v>
      </c>
      <c r="Y21" s="8" t="n">
        <v>0.033</v>
      </c>
      <c r="Z21" s="8" t="n">
        <v>0.0569</v>
      </c>
      <c r="AA21" s="8" t="n">
        <v>0.0456</v>
      </c>
      <c r="AB21" s="8" t="n">
        <v>0.0218</v>
      </c>
      <c r="AC21" s="8" t="n">
        <v>0.1173</v>
      </c>
      <c r="AD21" s="8" t="n">
        <v>0.0611</v>
      </c>
      <c r="AE21" s="8" t="n">
        <v>0.0274</v>
      </c>
      <c r="AF21" s="8" t="n">
        <v>0.0456</v>
      </c>
      <c r="AG21" s="8" t="n">
        <v>0.0569</v>
      </c>
      <c r="AH21" s="8" t="n">
        <v>0.0119</v>
      </c>
      <c r="AI21" s="8" t="n">
        <v>0.6854</v>
      </c>
      <c r="AJ21" s="8" t="n">
        <v>1.459</v>
      </c>
      <c r="AK21" s="8" t="n">
        <v>78.84</v>
      </c>
    </row>
    <row r="22">
      <c r="A22" s="9" t="n">
        <v>12</v>
      </c>
      <c r="B22" s="9" t="inlineStr">
        <is>
          <t>潼南区</t>
        </is>
      </c>
      <c r="C22" s="9" t="n">
        <v>0.85</v>
      </c>
      <c r="D22" s="9" t="n">
        <v>6.78</v>
      </c>
      <c r="E22" s="9" t="n">
        <v>2.54</v>
      </c>
      <c r="F22" s="9" t="n">
        <v>1.69</v>
      </c>
      <c r="G22" s="9" t="n">
        <v>1.69</v>
      </c>
      <c r="H22" s="9" t="n">
        <v>13.56</v>
      </c>
      <c r="I22" s="9" t="n">
        <v>11.86</v>
      </c>
      <c r="J22" s="9" t="n">
        <v>1.69</v>
      </c>
      <c r="K22" s="9" t="n">
        <v>0.85</v>
      </c>
      <c r="L22" s="9" t="n">
        <v>4.24</v>
      </c>
      <c r="M22" s="9" t="n">
        <v>15.25</v>
      </c>
      <c r="N22" s="9" t="n">
        <v>11.86</v>
      </c>
      <c r="O22" s="9" t="n">
        <v>11.02</v>
      </c>
      <c r="P22" s="9" t="n">
        <v>8.470000000000001</v>
      </c>
      <c r="Q22" s="9" t="n">
        <v>2.54</v>
      </c>
      <c r="R22" s="9" t="n">
        <v>5.08</v>
      </c>
      <c r="S22" s="9" t="n">
        <v>0.054</v>
      </c>
      <c r="T22" s="9" t="n">
        <v>0.0053</v>
      </c>
      <c r="U22" s="9" t="n">
        <v>0.0371</v>
      </c>
      <c r="V22" s="9" t="n">
        <v>0.0456</v>
      </c>
      <c r="W22" s="9" t="n">
        <v>0.0456</v>
      </c>
      <c r="X22" s="9" t="n">
        <v>0.0731</v>
      </c>
      <c r="Y22" s="9" t="n">
        <v>0.0561</v>
      </c>
      <c r="Z22" s="9" t="n">
        <v>0.0456</v>
      </c>
      <c r="AA22" s="9" t="n">
        <v>0.054</v>
      </c>
      <c r="AB22" s="9" t="n">
        <v>0.0201</v>
      </c>
      <c r="AC22" s="9" t="n">
        <v>0.09</v>
      </c>
      <c r="AD22" s="9" t="n">
        <v>0.0561</v>
      </c>
      <c r="AE22" s="9" t="n">
        <v>0.0477</v>
      </c>
      <c r="AF22" s="9" t="n">
        <v>0.0222</v>
      </c>
      <c r="AG22" s="9" t="n">
        <v>0.0371</v>
      </c>
      <c r="AH22" s="9" t="n">
        <v>0.0117</v>
      </c>
      <c r="AI22" s="9" t="n">
        <v>0.7013</v>
      </c>
      <c r="AJ22" s="9" t="n">
        <v>1.426</v>
      </c>
      <c r="AK22" s="9" t="n">
        <v>77.78</v>
      </c>
    </row>
    <row r="23">
      <c r="A23" s="8" t="n">
        <v>13</v>
      </c>
      <c r="B23" s="8" t="inlineStr">
        <is>
          <t>永川区</t>
        </is>
      </c>
      <c r="C23" s="8" t="n">
        <v>1.42</v>
      </c>
      <c r="D23" s="8" t="n">
        <v>5.69</v>
      </c>
      <c r="E23" s="8" t="n">
        <v>3.79</v>
      </c>
      <c r="F23" s="8" t="n">
        <v>2.84</v>
      </c>
      <c r="G23" s="8" t="n">
        <v>2.37</v>
      </c>
      <c r="H23" s="8" t="n">
        <v>5.69</v>
      </c>
      <c r="I23" s="8" t="n">
        <v>12.32</v>
      </c>
      <c r="J23" s="8" t="n">
        <v>0</v>
      </c>
      <c r="K23" s="8" t="n">
        <v>1.9</v>
      </c>
      <c r="L23" s="8" t="n">
        <v>4.27</v>
      </c>
      <c r="M23" s="8" t="n">
        <v>12.8</v>
      </c>
      <c r="N23" s="8" t="n">
        <v>12.8</v>
      </c>
      <c r="O23" s="8" t="n">
        <v>20.38</v>
      </c>
      <c r="P23" s="8" t="n">
        <v>4.74</v>
      </c>
      <c r="Q23" s="8" t="n">
        <v>0.95</v>
      </c>
      <c r="R23" s="8" t="n">
        <v>8.06</v>
      </c>
      <c r="S23" s="8" t="n">
        <v>0.0483</v>
      </c>
      <c r="T23" s="8" t="n">
        <v>0.0056</v>
      </c>
      <c r="U23" s="8" t="n">
        <v>0.0246</v>
      </c>
      <c r="V23" s="8" t="n">
        <v>0.0341</v>
      </c>
      <c r="W23" s="8" t="n">
        <v>0.0388</v>
      </c>
      <c r="X23" s="8" t="n">
        <v>0.0056</v>
      </c>
      <c r="Y23" s="8" t="n">
        <v>0.0607</v>
      </c>
      <c r="Z23" s="8" t="n">
        <v>0.0625</v>
      </c>
      <c r="AA23" s="8" t="n">
        <v>0.0435</v>
      </c>
      <c r="AB23" s="8" t="n">
        <v>0.0198</v>
      </c>
      <c r="AC23" s="8" t="n">
        <v>0.0655</v>
      </c>
      <c r="AD23" s="8" t="n">
        <v>0.0655</v>
      </c>
      <c r="AE23" s="8" t="n">
        <v>0.1413</v>
      </c>
      <c r="AF23" s="8" t="n">
        <v>0.0151</v>
      </c>
      <c r="AG23" s="8" t="n">
        <v>0.053</v>
      </c>
      <c r="AH23" s="8" t="n">
        <v>0.0181</v>
      </c>
      <c r="AI23" s="8" t="n">
        <v>0.702</v>
      </c>
      <c r="AJ23" s="8" t="n">
        <v>1.4245</v>
      </c>
      <c r="AK23" s="8" t="n">
        <v>77.73999999999999</v>
      </c>
    </row>
    <row r="24">
      <c r="A24" s="9" t="n">
        <v>14</v>
      </c>
      <c r="B24" s="9" t="inlineStr">
        <is>
          <t>南川区</t>
        </is>
      </c>
      <c r="C24" s="9" t="n">
        <v>0.27</v>
      </c>
      <c r="D24" s="9" t="n">
        <v>8.33</v>
      </c>
      <c r="E24" s="9" t="n">
        <v>3.49</v>
      </c>
      <c r="F24" s="9" t="n">
        <v>5.11</v>
      </c>
      <c r="G24" s="9" t="n">
        <v>4.03</v>
      </c>
      <c r="H24" s="9" t="n">
        <v>4.03</v>
      </c>
      <c r="I24" s="9" t="n">
        <v>15.59</v>
      </c>
      <c r="J24" s="9" t="n">
        <v>0</v>
      </c>
      <c r="K24" s="9" t="n">
        <v>2.96</v>
      </c>
      <c r="L24" s="9" t="n">
        <v>6.18</v>
      </c>
      <c r="M24" s="9" t="n">
        <v>14.78</v>
      </c>
      <c r="N24" s="9" t="n">
        <v>13.98</v>
      </c>
      <c r="O24" s="9" t="n">
        <v>13.71</v>
      </c>
      <c r="P24" s="9" t="n">
        <v>4.3</v>
      </c>
      <c r="Q24" s="9" t="n">
        <v>0</v>
      </c>
      <c r="R24" s="9" t="n">
        <v>3.23</v>
      </c>
      <c r="S24" s="9" t="n">
        <v>0.0598</v>
      </c>
      <c r="T24" s="9" t="n">
        <v>0.0208</v>
      </c>
      <c r="U24" s="9" t="n">
        <v>0.0276</v>
      </c>
      <c r="V24" s="9" t="n">
        <v>0.0114</v>
      </c>
      <c r="W24" s="9" t="n">
        <v>0.0222</v>
      </c>
      <c r="X24" s="9" t="n">
        <v>0.0222</v>
      </c>
      <c r="Y24" s="9" t="n">
        <v>0.0934</v>
      </c>
      <c r="Z24" s="9" t="n">
        <v>0.0625</v>
      </c>
      <c r="AA24" s="9" t="n">
        <v>0.0329</v>
      </c>
      <c r="AB24" s="9" t="n">
        <v>0.0007</v>
      </c>
      <c r="AC24" s="9" t="n">
        <v>0.0853</v>
      </c>
      <c r="AD24" s="9" t="n">
        <v>0.07729999999999999</v>
      </c>
      <c r="AE24" s="9" t="n">
        <v>0.0746</v>
      </c>
      <c r="AF24" s="9" t="n">
        <v>0.0195</v>
      </c>
      <c r="AG24" s="9" t="n">
        <v>0.0625</v>
      </c>
      <c r="AH24" s="9" t="n">
        <v>0.0302</v>
      </c>
      <c r="AI24" s="9" t="n">
        <v>0.703</v>
      </c>
      <c r="AJ24" s="9" t="n">
        <v>1.4226</v>
      </c>
      <c r="AK24" s="9" t="n">
        <v>77.68000000000001</v>
      </c>
    </row>
    <row r="25">
      <c r="A25" s="8" t="n">
        <v>15</v>
      </c>
      <c r="B25" s="8" t="inlineStr">
        <is>
          <t>城口县</t>
        </is>
      </c>
      <c r="C25" s="8" t="n">
        <v>0</v>
      </c>
      <c r="D25" s="8" t="n">
        <v>5.76</v>
      </c>
      <c r="E25" s="8" t="n">
        <v>1.44</v>
      </c>
      <c r="F25" s="8" t="n">
        <v>6.47</v>
      </c>
      <c r="G25" s="8" t="n">
        <v>2.16</v>
      </c>
      <c r="H25" s="8" t="n">
        <v>2.88</v>
      </c>
      <c r="I25" s="8" t="n">
        <v>6.47</v>
      </c>
      <c r="J25" s="8" t="n">
        <v>0</v>
      </c>
      <c r="K25" s="8" t="n">
        <v>3.6</v>
      </c>
      <c r="L25" s="8" t="n">
        <v>10.79</v>
      </c>
      <c r="M25" s="8" t="n">
        <v>18.71</v>
      </c>
      <c r="N25" s="8" t="n">
        <v>17.99</v>
      </c>
      <c r="O25" s="8" t="n">
        <v>12.23</v>
      </c>
      <c r="P25" s="8" t="n">
        <v>4.32</v>
      </c>
      <c r="Q25" s="8" t="n">
        <v>1.44</v>
      </c>
      <c r="R25" s="8" t="n">
        <v>5.76</v>
      </c>
      <c r="S25" s="8" t="n">
        <v>0.0625</v>
      </c>
      <c r="T25" s="8" t="n">
        <v>0.0049</v>
      </c>
      <c r="U25" s="8" t="n">
        <v>0.0481</v>
      </c>
      <c r="V25" s="8" t="n">
        <v>0.0022</v>
      </c>
      <c r="W25" s="8" t="n">
        <v>0.0409</v>
      </c>
      <c r="X25" s="8" t="n">
        <v>0.0337</v>
      </c>
      <c r="Y25" s="8" t="n">
        <v>0.0022</v>
      </c>
      <c r="Z25" s="8" t="n">
        <v>0.0625</v>
      </c>
      <c r="AA25" s="8" t="n">
        <v>0.0265</v>
      </c>
      <c r="AB25" s="8" t="n">
        <v>0.0454</v>
      </c>
      <c r="AC25" s="8" t="n">
        <v>0.1246</v>
      </c>
      <c r="AD25" s="8" t="n">
        <v>0.1174</v>
      </c>
      <c r="AE25" s="8" t="n">
        <v>0.0598</v>
      </c>
      <c r="AF25" s="8" t="n">
        <v>0.0193</v>
      </c>
      <c r="AG25" s="8" t="n">
        <v>0.0481</v>
      </c>
      <c r="AH25" s="8" t="n">
        <v>0.0049</v>
      </c>
      <c r="AI25" s="8" t="n">
        <v>0.7032</v>
      </c>
      <c r="AJ25" s="8" t="n">
        <v>1.422</v>
      </c>
      <c r="AK25" s="8" t="n">
        <v>77.66</v>
      </c>
    </row>
    <row r="26">
      <c r="A26" s="9" t="n">
        <v>16</v>
      </c>
      <c r="B26" s="9" t="inlineStr">
        <is>
          <t>彭水县</t>
        </is>
      </c>
      <c r="C26" s="9" t="n">
        <v>0</v>
      </c>
      <c r="D26" s="9" t="n">
        <v>11.05</v>
      </c>
      <c r="E26" s="9" t="n">
        <v>1.16</v>
      </c>
      <c r="F26" s="9" t="n">
        <v>1.16</v>
      </c>
      <c r="G26" s="9" t="n">
        <v>2.91</v>
      </c>
      <c r="H26" s="9" t="n">
        <v>5.81</v>
      </c>
      <c r="I26" s="9" t="n">
        <v>15.12</v>
      </c>
      <c r="J26" s="9" t="n">
        <v>0</v>
      </c>
      <c r="K26" s="9" t="n">
        <v>6.4</v>
      </c>
      <c r="L26" s="9" t="n">
        <v>5.23</v>
      </c>
      <c r="M26" s="9" t="n">
        <v>15.12</v>
      </c>
      <c r="N26" s="9" t="n">
        <v>11.63</v>
      </c>
      <c r="O26" s="9" t="n">
        <v>11.63</v>
      </c>
      <c r="P26" s="9" t="n">
        <v>4.65</v>
      </c>
      <c r="Q26" s="9" t="n">
        <v>0</v>
      </c>
      <c r="R26" s="9" t="n">
        <v>8.140000000000001</v>
      </c>
      <c r="S26" s="9" t="n">
        <v>0.0625</v>
      </c>
      <c r="T26" s="9" t="n">
        <v>0.048</v>
      </c>
      <c r="U26" s="9" t="n">
        <v>0.0509</v>
      </c>
      <c r="V26" s="9" t="n">
        <v>0.0509</v>
      </c>
      <c r="W26" s="9" t="n">
        <v>0.0334</v>
      </c>
      <c r="X26" s="9" t="n">
        <v>0.0044</v>
      </c>
      <c r="Y26" s="9" t="n">
        <v>0.0887</v>
      </c>
      <c r="Z26" s="9" t="n">
        <v>0.0625</v>
      </c>
      <c r="AA26" s="9" t="n">
        <v>0.0015</v>
      </c>
      <c r="AB26" s="9" t="n">
        <v>0.0102</v>
      </c>
      <c r="AC26" s="9" t="n">
        <v>0.0887</v>
      </c>
      <c r="AD26" s="9" t="n">
        <v>0.0538</v>
      </c>
      <c r="AE26" s="9" t="n">
        <v>0.0538</v>
      </c>
      <c r="AF26" s="9" t="n">
        <v>0.016</v>
      </c>
      <c r="AG26" s="9" t="n">
        <v>0.0625</v>
      </c>
      <c r="AH26" s="9" t="n">
        <v>0.0189</v>
      </c>
      <c r="AI26" s="9" t="n">
        <v>0.7064</v>
      </c>
      <c r="AJ26" s="9" t="n">
        <v>1.4156</v>
      </c>
      <c r="AK26" s="9" t="n">
        <v>77.45</v>
      </c>
    </row>
    <row r="27">
      <c r="A27" s="8" t="n">
        <v>17</v>
      </c>
      <c r="B27" s="8" t="inlineStr">
        <is>
          <t>南岸区</t>
        </is>
      </c>
      <c r="C27" s="8" t="n">
        <v>0.21</v>
      </c>
      <c r="D27" s="8" t="n">
        <v>4.76</v>
      </c>
      <c r="E27" s="8" t="n">
        <v>2.48</v>
      </c>
      <c r="F27" s="8" t="n">
        <v>6.63</v>
      </c>
      <c r="G27" s="8" t="n">
        <v>2.28</v>
      </c>
      <c r="H27" s="8" t="n">
        <v>9.94</v>
      </c>
      <c r="I27" s="8" t="n">
        <v>6.21</v>
      </c>
      <c r="J27" s="8" t="n">
        <v>0.62</v>
      </c>
      <c r="K27" s="8" t="n">
        <v>2.69</v>
      </c>
      <c r="L27" s="8" t="n">
        <v>3.93</v>
      </c>
      <c r="M27" s="8" t="n">
        <v>21.74</v>
      </c>
      <c r="N27" s="8" t="n">
        <v>10.14</v>
      </c>
      <c r="O27" s="8" t="n">
        <v>18.63</v>
      </c>
      <c r="P27" s="8" t="n">
        <v>5.8</v>
      </c>
      <c r="Q27" s="8" t="n">
        <v>0.21</v>
      </c>
      <c r="R27" s="8" t="n">
        <v>3.73</v>
      </c>
      <c r="S27" s="8" t="n">
        <v>0.0604</v>
      </c>
      <c r="T27" s="8" t="n">
        <v>0.0149</v>
      </c>
      <c r="U27" s="8" t="n">
        <v>0.0377</v>
      </c>
      <c r="V27" s="8" t="n">
        <v>0.0038</v>
      </c>
      <c r="W27" s="8" t="n">
        <v>0.0397</v>
      </c>
      <c r="X27" s="8" t="n">
        <v>0.0369</v>
      </c>
      <c r="Y27" s="8" t="n">
        <v>0.0004</v>
      </c>
      <c r="Z27" s="8" t="n">
        <v>0.0563</v>
      </c>
      <c r="AA27" s="8" t="n">
        <v>0.0356</v>
      </c>
      <c r="AB27" s="8" t="n">
        <v>0.0232</v>
      </c>
      <c r="AC27" s="8" t="n">
        <v>0.1549</v>
      </c>
      <c r="AD27" s="8" t="n">
        <v>0.0389</v>
      </c>
      <c r="AE27" s="8" t="n">
        <v>0.1238</v>
      </c>
      <c r="AF27" s="8" t="n">
        <v>0.0045</v>
      </c>
      <c r="AG27" s="8" t="n">
        <v>0.0604</v>
      </c>
      <c r="AH27" s="8" t="n">
        <v>0.0252</v>
      </c>
      <c r="AI27" s="8" t="n">
        <v>0.7166</v>
      </c>
      <c r="AJ27" s="8" t="n">
        <v>1.3954</v>
      </c>
      <c r="AK27" s="8" t="n">
        <v>76.81</v>
      </c>
    </row>
    <row r="28">
      <c r="A28" s="9" t="n">
        <v>18</v>
      </c>
      <c r="B28" s="9" t="inlineStr">
        <is>
          <t>合川区</t>
        </is>
      </c>
      <c r="C28" s="9" t="n">
        <v>0</v>
      </c>
      <c r="D28" s="9" t="n">
        <v>5.26</v>
      </c>
      <c r="E28" s="9" t="n">
        <v>4.21</v>
      </c>
      <c r="F28" s="9" t="n">
        <v>2.11</v>
      </c>
      <c r="G28" s="9" t="n">
        <v>2.11</v>
      </c>
      <c r="H28" s="9" t="n">
        <v>13.68</v>
      </c>
      <c r="I28" s="9" t="n">
        <v>18.95</v>
      </c>
      <c r="J28" s="9" t="n">
        <v>2.11</v>
      </c>
      <c r="K28" s="9" t="n">
        <v>2.11</v>
      </c>
      <c r="L28" s="9" t="n">
        <v>2.11</v>
      </c>
      <c r="M28" s="9" t="n">
        <v>11.58</v>
      </c>
      <c r="N28" s="9" t="n">
        <v>6.32</v>
      </c>
      <c r="O28" s="9" t="n">
        <v>14.74</v>
      </c>
      <c r="P28" s="9" t="n">
        <v>8.42</v>
      </c>
      <c r="Q28" s="9" t="n">
        <v>1.05</v>
      </c>
      <c r="R28" s="9" t="n">
        <v>5.26</v>
      </c>
      <c r="S28" s="9" t="n">
        <v>0.0625</v>
      </c>
      <c r="T28" s="9" t="n">
        <v>0.009900000000000001</v>
      </c>
      <c r="U28" s="9" t="n">
        <v>0.0204</v>
      </c>
      <c r="V28" s="9" t="n">
        <v>0.0414</v>
      </c>
      <c r="W28" s="9" t="n">
        <v>0.0414</v>
      </c>
      <c r="X28" s="9" t="n">
        <v>0.0743</v>
      </c>
      <c r="Y28" s="9" t="n">
        <v>0.127</v>
      </c>
      <c r="Z28" s="9" t="n">
        <v>0.0414</v>
      </c>
      <c r="AA28" s="9" t="n">
        <v>0.0414</v>
      </c>
      <c r="AB28" s="9" t="n">
        <v>0.0414</v>
      </c>
      <c r="AC28" s="9" t="n">
        <v>0.0533</v>
      </c>
      <c r="AD28" s="9" t="n">
        <v>0.0007</v>
      </c>
      <c r="AE28" s="9" t="n">
        <v>0.0849</v>
      </c>
      <c r="AF28" s="9" t="n">
        <v>0.0217</v>
      </c>
      <c r="AG28" s="9" t="n">
        <v>0.052</v>
      </c>
      <c r="AH28" s="9" t="n">
        <v>0.009900000000000001</v>
      </c>
      <c r="AI28" s="9" t="n">
        <v>0.7237</v>
      </c>
      <c r="AJ28" s="9" t="n">
        <v>1.3818</v>
      </c>
      <c r="AK28" s="9" t="n">
        <v>76.37</v>
      </c>
    </row>
    <row r="29">
      <c r="A29" s="8" t="n">
        <v>19</v>
      </c>
      <c r="B29" s="8" t="inlineStr">
        <is>
          <t>忠县</t>
        </is>
      </c>
      <c r="C29" s="8" t="n">
        <v>0</v>
      </c>
      <c r="D29" s="8" t="n">
        <v>8.550000000000001</v>
      </c>
      <c r="E29" s="8" t="n">
        <v>1.71</v>
      </c>
      <c r="F29" s="8" t="n">
        <v>2.56</v>
      </c>
      <c r="G29" s="8" t="n">
        <v>2.56</v>
      </c>
      <c r="H29" s="8" t="n">
        <v>3.42</v>
      </c>
      <c r="I29" s="8" t="n">
        <v>11.97</v>
      </c>
      <c r="J29" s="8" t="n">
        <v>0.85</v>
      </c>
      <c r="K29" s="8" t="n">
        <v>6.84</v>
      </c>
      <c r="L29" s="8" t="n">
        <v>1.71</v>
      </c>
      <c r="M29" s="8" t="n">
        <v>14.53</v>
      </c>
      <c r="N29" s="8" t="n">
        <v>11.97</v>
      </c>
      <c r="O29" s="8" t="n">
        <v>15.38</v>
      </c>
      <c r="P29" s="8" t="n">
        <v>6.84</v>
      </c>
      <c r="Q29" s="8" t="n">
        <v>0.85</v>
      </c>
      <c r="R29" s="8" t="n">
        <v>10.26</v>
      </c>
      <c r="S29" s="8" t="n">
        <v>0.0625</v>
      </c>
      <c r="T29" s="8" t="n">
        <v>0.023</v>
      </c>
      <c r="U29" s="8" t="n">
        <v>0.0454</v>
      </c>
      <c r="V29" s="8" t="n">
        <v>0.0369</v>
      </c>
      <c r="W29" s="8" t="n">
        <v>0.0369</v>
      </c>
      <c r="X29" s="8" t="n">
        <v>0.0283</v>
      </c>
      <c r="Y29" s="8" t="n">
        <v>0.0572</v>
      </c>
      <c r="Z29" s="8" t="n">
        <v>0.054</v>
      </c>
      <c r="AA29" s="8" t="n">
        <v>0.0059</v>
      </c>
      <c r="AB29" s="8" t="n">
        <v>0.0454</v>
      </c>
      <c r="AC29" s="8" t="n">
        <v>0.0828</v>
      </c>
      <c r="AD29" s="8" t="n">
        <v>0.0572</v>
      </c>
      <c r="AE29" s="8" t="n">
        <v>0.09130000000000001</v>
      </c>
      <c r="AF29" s="8" t="n">
        <v>0.0059</v>
      </c>
      <c r="AG29" s="8" t="n">
        <v>0.054</v>
      </c>
      <c r="AH29" s="8" t="n">
        <v>0.0401</v>
      </c>
      <c r="AI29" s="8" t="n">
        <v>0.7265</v>
      </c>
      <c r="AJ29" s="8" t="n">
        <v>1.3765</v>
      </c>
      <c r="AK29" s="8" t="n">
        <v>76.2</v>
      </c>
    </row>
    <row r="30">
      <c r="A30" s="9" t="n">
        <v>20</v>
      </c>
      <c r="B30" s="9" t="inlineStr">
        <is>
          <t>巴南区</t>
        </is>
      </c>
      <c r="C30" s="9" t="n">
        <v>0</v>
      </c>
      <c r="D30" s="9" t="n">
        <v>9.27</v>
      </c>
      <c r="E30" s="9" t="n">
        <v>0.66</v>
      </c>
      <c r="F30" s="9" t="n">
        <v>3.31</v>
      </c>
      <c r="G30" s="9" t="n">
        <v>2.65</v>
      </c>
      <c r="H30" s="9" t="n">
        <v>5.96</v>
      </c>
      <c r="I30" s="9" t="n">
        <v>4.64</v>
      </c>
      <c r="J30" s="9" t="n">
        <v>0</v>
      </c>
      <c r="K30" s="9" t="n">
        <v>3.31</v>
      </c>
      <c r="L30" s="9" t="n">
        <v>1.99</v>
      </c>
      <c r="M30" s="9" t="n">
        <v>29.14</v>
      </c>
      <c r="N30" s="9" t="n">
        <v>6.62</v>
      </c>
      <c r="O30" s="9" t="n">
        <v>12.58</v>
      </c>
      <c r="P30" s="9" t="n">
        <v>3.97</v>
      </c>
      <c r="Q30" s="9" t="n">
        <v>10.6</v>
      </c>
      <c r="R30" s="9" t="n">
        <v>5.3</v>
      </c>
      <c r="S30" s="9" t="n">
        <v>0.0625</v>
      </c>
      <c r="T30" s="9" t="n">
        <v>0.0302</v>
      </c>
      <c r="U30" s="9" t="n">
        <v>0.0559</v>
      </c>
      <c r="V30" s="9" t="n">
        <v>0.0294</v>
      </c>
      <c r="W30" s="9" t="n">
        <v>0.036</v>
      </c>
      <c r="X30" s="9" t="n">
        <v>0.0029</v>
      </c>
      <c r="Y30" s="9" t="n">
        <v>0.0161</v>
      </c>
      <c r="Z30" s="9" t="n">
        <v>0.0625</v>
      </c>
      <c r="AA30" s="9" t="n">
        <v>0.0294</v>
      </c>
      <c r="AB30" s="9" t="n">
        <v>0.0426</v>
      </c>
      <c r="AC30" s="9" t="n">
        <v>0.2289</v>
      </c>
      <c r="AD30" s="9" t="n">
        <v>0.0037</v>
      </c>
      <c r="AE30" s="9" t="n">
        <v>0.0633</v>
      </c>
      <c r="AF30" s="9" t="n">
        <v>0.0228</v>
      </c>
      <c r="AG30" s="9" t="n">
        <v>0.0435</v>
      </c>
      <c r="AH30" s="9" t="n">
        <v>0.0095</v>
      </c>
      <c r="AI30" s="9" t="n">
        <v>0.7392</v>
      </c>
      <c r="AJ30" s="9" t="n">
        <v>1.3527</v>
      </c>
      <c r="AK30" s="9" t="n">
        <v>75.45</v>
      </c>
    </row>
    <row r="31">
      <c r="A31" s="8" t="n">
        <v>21</v>
      </c>
      <c r="B31" s="8" t="inlineStr">
        <is>
          <t>江津区</t>
        </is>
      </c>
      <c r="C31" s="8" t="n">
        <v>1</v>
      </c>
      <c r="D31" s="8" t="n">
        <v>2.5</v>
      </c>
      <c r="E31" s="8" t="n">
        <v>4.5</v>
      </c>
      <c r="F31" s="8" t="n">
        <v>5</v>
      </c>
      <c r="G31" s="8" t="n">
        <v>0.5</v>
      </c>
      <c r="H31" s="8" t="n">
        <v>2.5</v>
      </c>
      <c r="I31" s="8" t="n">
        <v>7.5</v>
      </c>
      <c r="J31" s="8" t="n">
        <v>1</v>
      </c>
      <c r="K31" s="8" t="n">
        <v>0.5</v>
      </c>
      <c r="L31" s="8" t="n">
        <v>7</v>
      </c>
      <c r="M31" s="8" t="n">
        <v>22.5</v>
      </c>
      <c r="N31" s="8" t="n">
        <v>8.5</v>
      </c>
      <c r="O31" s="8" t="n">
        <v>16</v>
      </c>
      <c r="P31" s="8" t="n">
        <v>9.5</v>
      </c>
      <c r="Q31" s="8" t="n">
        <v>1</v>
      </c>
      <c r="R31" s="8" t="n">
        <v>10.5</v>
      </c>
      <c r="S31" s="8" t="n">
        <v>0.0525</v>
      </c>
      <c r="T31" s="8" t="n">
        <v>0.0375</v>
      </c>
      <c r="U31" s="8" t="n">
        <v>0.0175</v>
      </c>
      <c r="V31" s="8" t="n">
        <v>0.0125</v>
      </c>
      <c r="W31" s="8" t="n">
        <v>0.0575</v>
      </c>
      <c r="X31" s="8" t="n">
        <v>0.0375</v>
      </c>
      <c r="Y31" s="8" t="n">
        <v>0.0125</v>
      </c>
      <c r="Z31" s="8" t="n">
        <v>0.0525</v>
      </c>
      <c r="AA31" s="8" t="n">
        <v>0.0575</v>
      </c>
      <c r="AB31" s="8" t="n">
        <v>0.0075</v>
      </c>
      <c r="AC31" s="8" t="n">
        <v>0.1625</v>
      </c>
      <c r="AD31" s="8" t="n">
        <v>0.0225</v>
      </c>
      <c r="AE31" s="8" t="n">
        <v>0.0975</v>
      </c>
      <c r="AF31" s="8" t="n">
        <v>0.0325</v>
      </c>
      <c r="AG31" s="8" t="n">
        <v>0.0525</v>
      </c>
      <c r="AH31" s="8" t="n">
        <v>0.0425</v>
      </c>
      <c r="AI31" s="8" t="n">
        <v>0.755</v>
      </c>
      <c r="AJ31" s="8" t="n">
        <v>1.3245</v>
      </c>
      <c r="AK31" s="8" t="n">
        <v>74.54000000000001</v>
      </c>
    </row>
    <row r="32">
      <c r="A32" s="9" t="n">
        <v>22</v>
      </c>
      <c r="B32" s="9" t="inlineStr">
        <is>
          <t>酉阳县</t>
        </is>
      </c>
      <c r="C32" s="9" t="n">
        <v>0</v>
      </c>
      <c r="D32" s="9" t="n">
        <v>7.22</v>
      </c>
      <c r="E32" s="9" t="n">
        <v>2.06</v>
      </c>
      <c r="F32" s="9" t="n">
        <v>7.22</v>
      </c>
      <c r="G32" s="9" t="n">
        <v>4.12</v>
      </c>
      <c r="H32" s="9" t="n">
        <v>4.12</v>
      </c>
      <c r="I32" s="9" t="n">
        <v>8.25</v>
      </c>
      <c r="J32" s="9" t="n">
        <v>0</v>
      </c>
      <c r="K32" s="9" t="n">
        <v>1.03</v>
      </c>
      <c r="L32" s="9" t="n">
        <v>17.53</v>
      </c>
      <c r="M32" s="9" t="n">
        <v>20.62</v>
      </c>
      <c r="N32" s="9" t="n">
        <v>14.43</v>
      </c>
      <c r="O32" s="9" t="n">
        <v>4.12</v>
      </c>
      <c r="P32" s="9" t="n">
        <v>4.12</v>
      </c>
      <c r="Q32" s="9" t="n">
        <v>1.03</v>
      </c>
      <c r="R32" s="9" t="n">
        <v>4.12</v>
      </c>
      <c r="S32" s="9" t="n">
        <v>0.0625</v>
      </c>
      <c r="T32" s="9" t="n">
        <v>0.0097</v>
      </c>
      <c r="U32" s="9" t="n">
        <v>0.0419</v>
      </c>
      <c r="V32" s="9" t="n">
        <v>0.0097</v>
      </c>
      <c r="W32" s="9" t="n">
        <v>0.0213</v>
      </c>
      <c r="X32" s="9" t="n">
        <v>0.0213</v>
      </c>
      <c r="Y32" s="9" t="n">
        <v>0.02</v>
      </c>
      <c r="Z32" s="9" t="n">
        <v>0.0625</v>
      </c>
      <c r="AA32" s="9" t="n">
        <v>0.0522</v>
      </c>
      <c r="AB32" s="9" t="n">
        <v>0.1128</v>
      </c>
      <c r="AC32" s="9" t="n">
        <v>0.1437</v>
      </c>
      <c r="AD32" s="9" t="n">
        <v>0.0818</v>
      </c>
      <c r="AE32" s="9" t="n">
        <v>0.0213</v>
      </c>
      <c r="AF32" s="9" t="n">
        <v>0.0213</v>
      </c>
      <c r="AG32" s="9" t="n">
        <v>0.0522</v>
      </c>
      <c r="AH32" s="9" t="n">
        <v>0.0213</v>
      </c>
      <c r="AI32" s="9" t="n">
        <v>0.7552</v>
      </c>
      <c r="AJ32" s="9" t="n">
        <v>1.3242</v>
      </c>
      <c r="AK32" s="9" t="n">
        <v>74.54000000000001</v>
      </c>
    </row>
    <row r="33">
      <c r="A33" s="8" t="n">
        <v>23</v>
      </c>
      <c r="B33" s="8" t="inlineStr">
        <is>
          <t>綦江区</t>
        </is>
      </c>
      <c r="C33" s="8" t="n">
        <v>0</v>
      </c>
      <c r="D33" s="8" t="n">
        <v>7.78</v>
      </c>
      <c r="E33" s="8" t="n">
        <v>2.22</v>
      </c>
      <c r="F33" s="8" t="n">
        <v>1.11</v>
      </c>
      <c r="G33" s="8" t="n">
        <v>3.33</v>
      </c>
      <c r="H33" s="8" t="n">
        <v>3.33</v>
      </c>
      <c r="I33" s="8" t="n">
        <v>8.890000000000001</v>
      </c>
      <c r="J33" s="8" t="n">
        <v>1.11</v>
      </c>
      <c r="K33" s="8" t="n">
        <v>1.11</v>
      </c>
      <c r="L33" s="8" t="n">
        <v>6.67</v>
      </c>
      <c r="M33" s="8" t="n">
        <v>25.56</v>
      </c>
      <c r="N33" s="8" t="n">
        <v>10</v>
      </c>
      <c r="O33" s="8" t="n">
        <v>14.44</v>
      </c>
      <c r="P33" s="8" t="n">
        <v>8.890000000000001</v>
      </c>
      <c r="Q33" s="8" t="n">
        <v>0</v>
      </c>
      <c r="R33" s="8" t="n">
        <v>5.56</v>
      </c>
      <c r="S33" s="8" t="n">
        <v>0.0625</v>
      </c>
      <c r="T33" s="8" t="n">
        <v>0.0153</v>
      </c>
      <c r="U33" s="8" t="n">
        <v>0.0403</v>
      </c>
      <c r="V33" s="8" t="n">
        <v>0.0514</v>
      </c>
      <c r="W33" s="8" t="n">
        <v>0.0292</v>
      </c>
      <c r="X33" s="8" t="n">
        <v>0.0292</v>
      </c>
      <c r="Y33" s="8" t="n">
        <v>0.0264</v>
      </c>
      <c r="Z33" s="8" t="n">
        <v>0.0514</v>
      </c>
      <c r="AA33" s="8" t="n">
        <v>0.0514</v>
      </c>
      <c r="AB33" s="8" t="n">
        <v>0.0042</v>
      </c>
      <c r="AC33" s="8" t="n">
        <v>0.1931</v>
      </c>
      <c r="AD33" s="8" t="n">
        <v>0.0375</v>
      </c>
      <c r="AE33" s="8" t="n">
        <v>0.0819</v>
      </c>
      <c r="AF33" s="8" t="n">
        <v>0.0264</v>
      </c>
      <c r="AG33" s="8" t="n">
        <v>0.0625</v>
      </c>
      <c r="AH33" s="8" t="n">
        <v>0.0069</v>
      </c>
      <c r="AI33" s="8" t="n">
        <v>0.7694</v>
      </c>
      <c r="AJ33" s="8" t="n">
        <v>1.2996</v>
      </c>
      <c r="AK33" s="8" t="n">
        <v>73.75</v>
      </c>
    </row>
    <row r="34">
      <c r="A34" s="9" t="n">
        <v>24</v>
      </c>
      <c r="B34" s="9" t="inlineStr">
        <is>
          <t>渝中区</t>
        </is>
      </c>
      <c r="C34" s="9" t="n">
        <v>1.68</v>
      </c>
      <c r="D34" s="9" t="n">
        <v>3.37</v>
      </c>
      <c r="E34" s="9" t="n">
        <v>3.03</v>
      </c>
      <c r="F34" s="9" t="n">
        <v>4.38</v>
      </c>
      <c r="G34" s="9" t="n">
        <v>2.36</v>
      </c>
      <c r="H34" s="9" t="n">
        <v>2.36</v>
      </c>
      <c r="I34" s="9" t="n">
        <v>11.11</v>
      </c>
      <c r="J34" s="9" t="n">
        <v>0.67</v>
      </c>
      <c r="K34" s="9" t="n">
        <v>3.7</v>
      </c>
      <c r="L34" s="9" t="n">
        <v>4.04</v>
      </c>
      <c r="M34" s="9" t="n">
        <v>14.48</v>
      </c>
      <c r="N34" s="9" t="n">
        <v>7.41</v>
      </c>
      <c r="O34" s="9" t="n">
        <v>21.21</v>
      </c>
      <c r="P34" s="9" t="n">
        <v>3.7</v>
      </c>
      <c r="Q34" s="9" t="n">
        <v>0.34</v>
      </c>
      <c r="R34" s="9" t="n">
        <v>16.16</v>
      </c>
      <c r="S34" s="9" t="n">
        <v>0.0457</v>
      </c>
      <c r="T34" s="9" t="n">
        <v>0.0288</v>
      </c>
      <c r="U34" s="9" t="n">
        <v>0.0322</v>
      </c>
      <c r="V34" s="9" t="n">
        <v>0.0187</v>
      </c>
      <c r="W34" s="9" t="n">
        <v>0.0389</v>
      </c>
      <c r="X34" s="9" t="n">
        <v>0.0389</v>
      </c>
      <c r="Y34" s="9" t="n">
        <v>0.0486</v>
      </c>
      <c r="Z34" s="9" t="n">
        <v>0.0558</v>
      </c>
      <c r="AA34" s="9" t="n">
        <v>0.0255</v>
      </c>
      <c r="AB34" s="9" t="n">
        <v>0.0221</v>
      </c>
      <c r="AC34" s="9" t="n">
        <v>0.0823</v>
      </c>
      <c r="AD34" s="9" t="n">
        <v>0.0116</v>
      </c>
      <c r="AE34" s="9" t="n">
        <v>0.1496</v>
      </c>
      <c r="AF34" s="9" t="n">
        <v>0.0255</v>
      </c>
      <c r="AG34" s="9" t="n">
        <v>0.0591</v>
      </c>
      <c r="AH34" s="9" t="n">
        <v>0.09909999999999999</v>
      </c>
      <c r="AI34" s="9" t="n">
        <v>0.7824</v>
      </c>
      <c r="AJ34" s="9" t="n">
        <v>1.2781</v>
      </c>
      <c r="AK34" s="9" t="n">
        <v>73.06</v>
      </c>
    </row>
    <row r="35">
      <c r="A35" s="8" t="n">
        <v>25</v>
      </c>
      <c r="B35" s="8" t="inlineStr">
        <is>
          <t>秀山县</t>
        </is>
      </c>
      <c r="C35" s="8" t="n">
        <v>0</v>
      </c>
      <c r="D35" s="8" t="n">
        <v>9.23</v>
      </c>
      <c r="E35" s="8" t="n">
        <v>1.54</v>
      </c>
      <c r="F35" s="8" t="n">
        <v>7.31</v>
      </c>
      <c r="G35" s="8" t="n">
        <v>4.62</v>
      </c>
      <c r="H35" s="8" t="n">
        <v>5.77</v>
      </c>
      <c r="I35" s="8" t="n">
        <v>8.85</v>
      </c>
      <c r="J35" s="8" t="n">
        <v>0.38</v>
      </c>
      <c r="K35" s="8" t="n">
        <v>0</v>
      </c>
      <c r="L35" s="8" t="n">
        <v>8.08</v>
      </c>
      <c r="M35" s="8" t="n">
        <v>22.69</v>
      </c>
      <c r="N35" s="8" t="n">
        <v>13.08</v>
      </c>
      <c r="O35" s="8" t="n">
        <v>13.85</v>
      </c>
      <c r="P35" s="8" t="n">
        <v>3.08</v>
      </c>
      <c r="Q35" s="8" t="n">
        <v>0.77</v>
      </c>
      <c r="R35" s="8" t="n">
        <v>0.77</v>
      </c>
      <c r="S35" s="8" t="n">
        <v>0.0625</v>
      </c>
      <c r="T35" s="8" t="n">
        <v>0.0298</v>
      </c>
      <c r="U35" s="8" t="n">
        <v>0.0471</v>
      </c>
      <c r="V35" s="8" t="n">
        <v>0.0106</v>
      </c>
      <c r="W35" s="8" t="n">
        <v>0.0163</v>
      </c>
      <c r="X35" s="8" t="n">
        <v>0.0048</v>
      </c>
      <c r="Y35" s="8" t="n">
        <v>0.026</v>
      </c>
      <c r="Z35" s="8" t="n">
        <v>0.0587</v>
      </c>
      <c r="AA35" s="8" t="n">
        <v>0.0625</v>
      </c>
      <c r="AB35" s="8" t="n">
        <v>0.0183</v>
      </c>
      <c r="AC35" s="8" t="n">
        <v>0.1644</v>
      </c>
      <c r="AD35" s="8" t="n">
        <v>0.0683</v>
      </c>
      <c r="AE35" s="8" t="n">
        <v>0.076</v>
      </c>
      <c r="AF35" s="8" t="n">
        <v>0.0317</v>
      </c>
      <c r="AG35" s="8" t="n">
        <v>0.0548</v>
      </c>
      <c r="AH35" s="8" t="n">
        <v>0.0548</v>
      </c>
      <c r="AI35" s="8" t="n">
        <v>0.7865</v>
      </c>
      <c r="AJ35" s="8" t="n">
        <v>1.2714</v>
      </c>
      <c r="AK35" s="8" t="n">
        <v>72.84999999999999</v>
      </c>
    </row>
    <row r="36">
      <c r="A36" s="9" t="n">
        <v>26</v>
      </c>
      <c r="B36" s="9" t="inlineStr">
        <is>
          <t>梁平区</t>
        </is>
      </c>
      <c r="C36" s="9" t="n">
        <v>0.33</v>
      </c>
      <c r="D36" s="9" t="n">
        <v>6.89</v>
      </c>
      <c r="E36" s="9" t="n">
        <v>1.97</v>
      </c>
      <c r="F36" s="9" t="n">
        <v>7.21</v>
      </c>
      <c r="G36" s="9" t="n">
        <v>0.66</v>
      </c>
      <c r="H36" s="9" t="n">
        <v>4.26</v>
      </c>
      <c r="I36" s="9" t="n">
        <v>4.92</v>
      </c>
      <c r="J36" s="9" t="n">
        <v>0.66</v>
      </c>
      <c r="K36" s="9" t="n">
        <v>2.3</v>
      </c>
      <c r="L36" s="9" t="n">
        <v>8.85</v>
      </c>
      <c r="M36" s="9" t="n">
        <v>24.26</v>
      </c>
      <c r="N36" s="9" t="n">
        <v>13.44</v>
      </c>
      <c r="O36" s="9" t="n">
        <v>16.72</v>
      </c>
      <c r="P36" s="9" t="n">
        <v>1.31</v>
      </c>
      <c r="Q36" s="9" t="n">
        <v>0.98</v>
      </c>
      <c r="R36" s="9" t="n">
        <v>5.25</v>
      </c>
      <c r="S36" s="9" t="n">
        <v>0.0592</v>
      </c>
      <c r="T36" s="9" t="n">
        <v>0.0064</v>
      </c>
      <c r="U36" s="9" t="n">
        <v>0.0428</v>
      </c>
      <c r="V36" s="9" t="n">
        <v>0.009599999999999999</v>
      </c>
      <c r="W36" s="9" t="n">
        <v>0.0559</v>
      </c>
      <c r="X36" s="9" t="n">
        <v>0.0199</v>
      </c>
      <c r="Y36" s="9" t="n">
        <v>0.0133</v>
      </c>
      <c r="Z36" s="9" t="n">
        <v>0.0559</v>
      </c>
      <c r="AA36" s="9" t="n">
        <v>0.0395</v>
      </c>
      <c r="AB36" s="9" t="n">
        <v>0.026</v>
      </c>
      <c r="AC36" s="9" t="n">
        <v>0.1801</v>
      </c>
      <c r="AD36" s="9" t="n">
        <v>0.07190000000000001</v>
      </c>
      <c r="AE36" s="9" t="n">
        <v>0.1047</v>
      </c>
      <c r="AF36" s="9" t="n">
        <v>0.0494</v>
      </c>
      <c r="AG36" s="9" t="n">
        <v>0.0527</v>
      </c>
      <c r="AH36" s="9" t="n">
        <v>0.01</v>
      </c>
      <c r="AI36" s="9" t="n">
        <v>0.7975</v>
      </c>
      <c r="AJ36" s="9" t="n">
        <v>1.2539</v>
      </c>
      <c r="AK36" s="9" t="n">
        <v>72.29000000000001</v>
      </c>
    </row>
    <row r="37">
      <c r="A37" s="8" t="n">
        <v>27</v>
      </c>
      <c r="B37" s="8" t="inlineStr">
        <is>
          <t>荣昌区</t>
        </is>
      </c>
      <c r="C37" s="8" t="n">
        <v>0.76</v>
      </c>
      <c r="D37" s="8" t="n">
        <v>12.12</v>
      </c>
      <c r="E37" s="8" t="n">
        <v>4.55</v>
      </c>
      <c r="F37" s="8" t="n">
        <v>3.03</v>
      </c>
      <c r="G37" s="8" t="n">
        <v>0.76</v>
      </c>
      <c r="H37" s="8" t="n">
        <v>2.27</v>
      </c>
      <c r="I37" s="8" t="n">
        <v>5.3</v>
      </c>
      <c r="J37" s="8" t="n">
        <v>0.76</v>
      </c>
      <c r="K37" s="8" t="n">
        <v>1.52</v>
      </c>
      <c r="L37" s="8" t="n">
        <v>4.55</v>
      </c>
      <c r="M37" s="8" t="n">
        <v>15.91</v>
      </c>
      <c r="N37" s="8" t="n">
        <v>9.85</v>
      </c>
      <c r="O37" s="8" t="n">
        <v>21.21</v>
      </c>
      <c r="P37" s="8" t="n">
        <v>12.12</v>
      </c>
      <c r="Q37" s="8" t="n">
        <v>0.76</v>
      </c>
      <c r="R37" s="8" t="n">
        <v>4.55</v>
      </c>
      <c r="S37" s="8" t="n">
        <v>0.0549</v>
      </c>
      <c r="T37" s="8" t="n">
        <v>0.0587</v>
      </c>
      <c r="U37" s="8" t="n">
        <v>0.017</v>
      </c>
      <c r="V37" s="8" t="n">
        <v>0.0322</v>
      </c>
      <c r="W37" s="8" t="n">
        <v>0.0549</v>
      </c>
      <c r="X37" s="8" t="n">
        <v>0.0398</v>
      </c>
      <c r="Y37" s="8" t="n">
        <v>0.0095</v>
      </c>
      <c r="Z37" s="8" t="n">
        <v>0.0549</v>
      </c>
      <c r="AA37" s="8" t="n">
        <v>0.0473</v>
      </c>
      <c r="AB37" s="8" t="n">
        <v>0.017</v>
      </c>
      <c r="AC37" s="8" t="n">
        <v>0.09660000000000001</v>
      </c>
      <c r="AD37" s="8" t="n">
        <v>0.036</v>
      </c>
      <c r="AE37" s="8" t="n">
        <v>0.1496</v>
      </c>
      <c r="AF37" s="8" t="n">
        <v>0.0587</v>
      </c>
      <c r="AG37" s="8" t="n">
        <v>0.0549</v>
      </c>
      <c r="AH37" s="8" t="n">
        <v>0.017</v>
      </c>
      <c r="AI37" s="8" t="n">
        <v>0.7992</v>
      </c>
      <c r="AJ37" s="8" t="n">
        <v>1.2512</v>
      </c>
      <c r="AK37" s="8" t="n">
        <v>72.2</v>
      </c>
    </row>
    <row r="38">
      <c r="A38" s="9" t="n">
        <v>28</v>
      </c>
      <c r="B38" s="9" t="inlineStr">
        <is>
          <t>云阳县</t>
        </is>
      </c>
      <c r="C38" s="9" t="n">
        <v>0</v>
      </c>
      <c r="D38" s="9" t="n">
        <v>3.57</v>
      </c>
      <c r="E38" s="9" t="n">
        <v>2.86</v>
      </c>
      <c r="F38" s="9" t="n">
        <v>5.71</v>
      </c>
      <c r="G38" s="9" t="n">
        <v>1.43</v>
      </c>
      <c r="H38" s="9" t="n">
        <v>4.29</v>
      </c>
      <c r="I38" s="9" t="n">
        <v>3.57</v>
      </c>
      <c r="J38" s="9" t="n">
        <v>5</v>
      </c>
      <c r="K38" s="9" t="n">
        <v>2.14</v>
      </c>
      <c r="L38" s="9" t="n">
        <v>2.14</v>
      </c>
      <c r="M38" s="9" t="n">
        <v>29.29</v>
      </c>
      <c r="N38" s="9" t="n">
        <v>19.29</v>
      </c>
      <c r="O38" s="9" t="n">
        <v>10</v>
      </c>
      <c r="P38" s="9" t="n">
        <v>3.57</v>
      </c>
      <c r="Q38" s="9" t="n">
        <v>0.71</v>
      </c>
      <c r="R38" s="9" t="n">
        <v>6.43</v>
      </c>
      <c r="S38" s="9" t="n">
        <v>0.0625</v>
      </c>
      <c r="T38" s="9" t="n">
        <v>0.0268</v>
      </c>
      <c r="U38" s="9" t="n">
        <v>0.0339</v>
      </c>
      <c r="V38" s="9" t="n">
        <v>0.0054</v>
      </c>
      <c r="W38" s="9" t="n">
        <v>0.0482</v>
      </c>
      <c r="X38" s="9" t="n">
        <v>0.0196</v>
      </c>
      <c r="Y38" s="9" t="n">
        <v>0.0268</v>
      </c>
      <c r="Z38" s="9" t="n">
        <v>0.0125</v>
      </c>
      <c r="AA38" s="9" t="n">
        <v>0.0411</v>
      </c>
      <c r="AB38" s="9" t="n">
        <v>0.0411</v>
      </c>
      <c r="AC38" s="9" t="n">
        <v>0.2304</v>
      </c>
      <c r="AD38" s="9" t="n">
        <v>0.1304</v>
      </c>
      <c r="AE38" s="9" t="n">
        <v>0.0375</v>
      </c>
      <c r="AF38" s="9" t="n">
        <v>0.0268</v>
      </c>
      <c r="AG38" s="9" t="n">
        <v>0.0554</v>
      </c>
      <c r="AH38" s="9" t="n">
        <v>0.0018</v>
      </c>
      <c r="AI38" s="9" t="n">
        <v>0.8</v>
      </c>
      <c r="AJ38" s="9" t="n">
        <v>1.25</v>
      </c>
      <c r="AK38" s="9" t="n">
        <v>72.16</v>
      </c>
    </row>
    <row r="39">
      <c r="A39" s="8" t="n">
        <v>29</v>
      </c>
      <c r="B39" s="8" t="inlineStr">
        <is>
          <t>奉节县</t>
        </is>
      </c>
      <c r="C39" s="8" t="n">
        <v>0</v>
      </c>
      <c r="D39" s="8" t="n">
        <v>5.85</v>
      </c>
      <c r="E39" s="8" t="n">
        <v>0.98</v>
      </c>
      <c r="F39" s="8" t="n">
        <v>5.37</v>
      </c>
      <c r="G39" s="8" t="n">
        <v>0</v>
      </c>
      <c r="H39" s="8" t="n">
        <v>10.73</v>
      </c>
      <c r="I39" s="8" t="n">
        <v>10.73</v>
      </c>
      <c r="J39" s="8" t="n">
        <v>0.98</v>
      </c>
      <c r="K39" s="8" t="n">
        <v>0.98</v>
      </c>
      <c r="L39" s="8" t="n">
        <v>4.88</v>
      </c>
      <c r="M39" s="8" t="n">
        <v>9.76</v>
      </c>
      <c r="N39" s="8" t="n">
        <v>14.63</v>
      </c>
      <c r="O39" s="8" t="n">
        <v>20</v>
      </c>
      <c r="P39" s="8" t="n">
        <v>2.93</v>
      </c>
      <c r="Q39" s="8" t="n">
        <v>0.49</v>
      </c>
      <c r="R39" s="8" t="n">
        <v>11.71</v>
      </c>
      <c r="S39" s="8" t="n">
        <v>0.0625</v>
      </c>
      <c r="T39" s="8" t="n">
        <v>0.004</v>
      </c>
      <c r="U39" s="8" t="n">
        <v>0.0527</v>
      </c>
      <c r="V39" s="8" t="n">
        <v>0.008800000000000001</v>
      </c>
      <c r="W39" s="8" t="n">
        <v>0.0625</v>
      </c>
      <c r="X39" s="8" t="n">
        <v>0.0448</v>
      </c>
      <c r="Y39" s="8" t="n">
        <v>0.0448</v>
      </c>
      <c r="Z39" s="8" t="n">
        <v>0.0527</v>
      </c>
      <c r="AA39" s="8" t="n">
        <v>0.0527</v>
      </c>
      <c r="AB39" s="8" t="n">
        <v>0.0137</v>
      </c>
      <c r="AC39" s="8" t="n">
        <v>0.0351</v>
      </c>
      <c r="AD39" s="8" t="n">
        <v>0.0838</v>
      </c>
      <c r="AE39" s="8" t="n">
        <v>0.1375</v>
      </c>
      <c r="AF39" s="8" t="n">
        <v>0.0332</v>
      </c>
      <c r="AG39" s="8" t="n">
        <v>0.0576</v>
      </c>
      <c r="AH39" s="8" t="n">
        <v>0.0546</v>
      </c>
      <c r="AI39" s="8" t="n">
        <v>0.8012</v>
      </c>
      <c r="AJ39" s="8" t="n">
        <v>1.2481</v>
      </c>
      <c r="AK39" s="8" t="n">
        <v>72.09999999999999</v>
      </c>
    </row>
    <row r="40">
      <c r="A40" s="9" t="n">
        <v>30</v>
      </c>
      <c r="B40" s="9" t="inlineStr">
        <is>
          <t>璧山区</t>
        </is>
      </c>
      <c r="C40" s="9" t="n">
        <v>0</v>
      </c>
      <c r="D40" s="9" t="n">
        <v>5.88</v>
      </c>
      <c r="E40" s="9" t="n">
        <v>9.800000000000001</v>
      </c>
      <c r="F40" s="9" t="n">
        <v>0</v>
      </c>
      <c r="G40" s="9" t="n">
        <v>0</v>
      </c>
      <c r="H40" s="9" t="n">
        <v>1.96</v>
      </c>
      <c r="I40" s="9" t="n">
        <v>15.69</v>
      </c>
      <c r="J40" s="9" t="n">
        <v>1.96</v>
      </c>
      <c r="K40" s="9" t="n">
        <v>0</v>
      </c>
      <c r="L40" s="9" t="n">
        <v>1.96</v>
      </c>
      <c r="M40" s="9" t="n">
        <v>17.65</v>
      </c>
      <c r="N40" s="9" t="n">
        <v>3.92</v>
      </c>
      <c r="O40" s="9" t="n">
        <v>15.69</v>
      </c>
      <c r="P40" s="9" t="n">
        <v>9.800000000000001</v>
      </c>
      <c r="Q40" s="9" t="n">
        <v>7.84</v>
      </c>
      <c r="R40" s="9" t="n">
        <v>7.84</v>
      </c>
      <c r="S40" s="9" t="n">
        <v>0.0625</v>
      </c>
      <c r="T40" s="9" t="n">
        <v>0.0037</v>
      </c>
      <c r="U40" s="9" t="n">
        <v>0.0355</v>
      </c>
      <c r="V40" s="9" t="n">
        <v>0.0625</v>
      </c>
      <c r="W40" s="9" t="n">
        <v>0.0625</v>
      </c>
      <c r="X40" s="9" t="n">
        <v>0.0429</v>
      </c>
      <c r="Y40" s="9" t="n">
        <v>0.0944</v>
      </c>
      <c r="Z40" s="9" t="n">
        <v>0.0429</v>
      </c>
      <c r="AA40" s="9" t="n">
        <v>0.0625</v>
      </c>
      <c r="AB40" s="9" t="n">
        <v>0.0429</v>
      </c>
      <c r="AC40" s="9" t="n">
        <v>0.114</v>
      </c>
      <c r="AD40" s="9" t="n">
        <v>0.0233</v>
      </c>
      <c r="AE40" s="9" t="n">
        <v>0.0944</v>
      </c>
      <c r="AF40" s="9" t="n">
        <v>0.0355</v>
      </c>
      <c r="AG40" s="9" t="n">
        <v>0.0159</v>
      </c>
      <c r="AH40" s="9" t="n">
        <v>0.0159</v>
      </c>
      <c r="AI40" s="9" t="n">
        <v>0.8113</v>
      </c>
      <c r="AJ40" s="9" t="n">
        <v>1.2326</v>
      </c>
      <c r="AK40" s="9" t="n">
        <v>71.61</v>
      </c>
    </row>
    <row r="41">
      <c r="A41" s="8" t="n">
        <v>31</v>
      </c>
      <c r="B41" s="8" t="inlineStr">
        <is>
          <t>万盛经开区</t>
        </is>
      </c>
      <c r="C41" s="8" t="n">
        <v>1.14</v>
      </c>
      <c r="D41" s="8" t="n">
        <v>15.91</v>
      </c>
      <c r="E41" s="8" t="n">
        <v>0</v>
      </c>
      <c r="F41" s="8" t="n">
        <v>4.55</v>
      </c>
      <c r="G41" s="8" t="n">
        <v>3.41</v>
      </c>
      <c r="H41" s="8" t="n">
        <v>11.36</v>
      </c>
      <c r="I41" s="8" t="n">
        <v>12.5</v>
      </c>
      <c r="J41" s="8" t="n">
        <v>1.14</v>
      </c>
      <c r="K41" s="8" t="n">
        <v>0</v>
      </c>
      <c r="L41" s="8" t="n">
        <v>11.36</v>
      </c>
      <c r="M41" s="8" t="n">
        <v>11.36</v>
      </c>
      <c r="N41" s="8" t="n">
        <v>10.23</v>
      </c>
      <c r="O41" s="8" t="n">
        <v>12.5</v>
      </c>
      <c r="P41" s="8" t="n">
        <v>3.41</v>
      </c>
      <c r="Q41" s="8" t="n">
        <v>0</v>
      </c>
      <c r="R41" s="8" t="n">
        <v>1.14</v>
      </c>
      <c r="S41" s="8" t="n">
        <v>0.0511</v>
      </c>
      <c r="T41" s="8" t="n">
        <v>0.09660000000000001</v>
      </c>
      <c r="U41" s="8" t="n">
        <v>0.0625</v>
      </c>
      <c r="V41" s="8" t="n">
        <v>0.017</v>
      </c>
      <c r="W41" s="8" t="n">
        <v>0.0284</v>
      </c>
      <c r="X41" s="8" t="n">
        <v>0.0511</v>
      </c>
      <c r="Y41" s="8" t="n">
        <v>0.0625</v>
      </c>
      <c r="Z41" s="8" t="n">
        <v>0.0511</v>
      </c>
      <c r="AA41" s="8" t="n">
        <v>0.0625</v>
      </c>
      <c r="AB41" s="8" t="n">
        <v>0.0511</v>
      </c>
      <c r="AC41" s="8" t="n">
        <v>0.0511</v>
      </c>
      <c r="AD41" s="8" t="n">
        <v>0.0398</v>
      </c>
      <c r="AE41" s="8" t="n">
        <v>0.0625</v>
      </c>
      <c r="AF41" s="8" t="n">
        <v>0.0284</v>
      </c>
      <c r="AG41" s="8" t="n">
        <v>0.0625</v>
      </c>
      <c r="AH41" s="8" t="n">
        <v>0.0511</v>
      </c>
      <c r="AI41" s="8" t="n">
        <v>0.8295</v>
      </c>
      <c r="AJ41" s="8" t="n">
        <v>1.2055</v>
      </c>
      <c r="AK41" s="8" t="n">
        <v>70.73999999999999</v>
      </c>
    </row>
    <row r="42">
      <c r="A42" s="9" t="n">
        <v>32</v>
      </c>
      <c r="B42" s="9" t="inlineStr">
        <is>
          <t>大渡口区</t>
        </is>
      </c>
      <c r="C42" s="9" t="n">
        <v>1.75</v>
      </c>
      <c r="D42" s="9" t="n">
        <v>3.51</v>
      </c>
      <c r="E42" s="9" t="n">
        <v>4.39</v>
      </c>
      <c r="F42" s="9" t="n">
        <v>4.39</v>
      </c>
      <c r="G42" s="9" t="n">
        <v>1.75</v>
      </c>
      <c r="H42" s="9" t="n">
        <v>8.77</v>
      </c>
      <c r="I42" s="9" t="n">
        <v>6.14</v>
      </c>
      <c r="J42" s="9" t="n">
        <v>0</v>
      </c>
      <c r="K42" s="9" t="n">
        <v>0.88</v>
      </c>
      <c r="L42" s="9" t="n">
        <v>1.75</v>
      </c>
      <c r="M42" s="9" t="n">
        <v>21.05</v>
      </c>
      <c r="N42" s="9" t="n">
        <v>15.79</v>
      </c>
      <c r="O42" s="9" t="n">
        <v>21.93</v>
      </c>
      <c r="P42" s="9" t="n">
        <v>3.51</v>
      </c>
      <c r="Q42" s="9" t="n">
        <v>0</v>
      </c>
      <c r="R42" s="9" t="n">
        <v>4.39</v>
      </c>
      <c r="S42" s="9" t="n">
        <v>0.045</v>
      </c>
      <c r="T42" s="9" t="n">
        <v>0.0274</v>
      </c>
      <c r="U42" s="9" t="n">
        <v>0.0186</v>
      </c>
      <c r="V42" s="9" t="n">
        <v>0.0186</v>
      </c>
      <c r="W42" s="9" t="n">
        <v>0.045</v>
      </c>
      <c r="X42" s="9" t="n">
        <v>0.0252</v>
      </c>
      <c r="Y42" s="9" t="n">
        <v>0.0011</v>
      </c>
      <c r="Z42" s="9" t="n">
        <v>0.0625</v>
      </c>
      <c r="AA42" s="9" t="n">
        <v>0.0537</v>
      </c>
      <c r="AB42" s="9" t="n">
        <v>0.045</v>
      </c>
      <c r="AC42" s="9" t="n">
        <v>0.148</v>
      </c>
      <c r="AD42" s="9" t="n">
        <v>0.0954</v>
      </c>
      <c r="AE42" s="9" t="n">
        <v>0.1568</v>
      </c>
      <c r="AF42" s="9" t="n">
        <v>0.0274</v>
      </c>
      <c r="AG42" s="9" t="n">
        <v>0.0625</v>
      </c>
      <c r="AH42" s="9" t="n">
        <v>0.0186</v>
      </c>
      <c r="AI42" s="9" t="n">
        <v>0.8509</v>
      </c>
      <c r="AJ42" s="9" t="n">
        <v>1.1753</v>
      </c>
      <c r="AK42" s="9" t="n">
        <v>69.78</v>
      </c>
    </row>
    <row r="43">
      <c r="A43" s="8" t="n">
        <v>33</v>
      </c>
      <c r="B43" s="8" t="inlineStr">
        <is>
          <t>大足区</t>
        </is>
      </c>
      <c r="C43" s="8" t="n">
        <v>0.93</v>
      </c>
      <c r="D43" s="8" t="n">
        <v>19.44</v>
      </c>
      <c r="E43" s="8" t="n">
        <v>2.78</v>
      </c>
      <c r="F43" s="8" t="n">
        <v>2.78</v>
      </c>
      <c r="G43" s="8" t="n">
        <v>5.56</v>
      </c>
      <c r="H43" s="8" t="n">
        <v>8.33</v>
      </c>
      <c r="I43" s="8" t="n">
        <v>13.89</v>
      </c>
      <c r="J43" s="8" t="n">
        <v>0</v>
      </c>
      <c r="K43" s="8" t="n">
        <v>1.85</v>
      </c>
      <c r="L43" s="8" t="n">
        <v>0.93</v>
      </c>
      <c r="M43" s="8" t="n">
        <v>24.07</v>
      </c>
      <c r="N43" s="8" t="n">
        <v>3.7</v>
      </c>
      <c r="O43" s="8" t="n">
        <v>8.33</v>
      </c>
      <c r="P43" s="8" t="n">
        <v>1.85</v>
      </c>
      <c r="Q43" s="8" t="n">
        <v>0</v>
      </c>
      <c r="R43" s="8" t="n">
        <v>5.56</v>
      </c>
      <c r="S43" s="8" t="n">
        <v>0.0532</v>
      </c>
      <c r="T43" s="8" t="n">
        <v>0.1319</v>
      </c>
      <c r="U43" s="8" t="n">
        <v>0.0347</v>
      </c>
      <c r="V43" s="8" t="n">
        <v>0.0347</v>
      </c>
      <c r="W43" s="8" t="n">
        <v>0.0069</v>
      </c>
      <c r="X43" s="8" t="n">
        <v>0.0208</v>
      </c>
      <c r="Y43" s="8" t="n">
        <v>0.0764</v>
      </c>
      <c r="Z43" s="8" t="n">
        <v>0.0625</v>
      </c>
      <c r="AA43" s="8" t="n">
        <v>0.044</v>
      </c>
      <c r="AB43" s="8" t="n">
        <v>0.0532</v>
      </c>
      <c r="AC43" s="8" t="n">
        <v>0.1782</v>
      </c>
      <c r="AD43" s="8" t="n">
        <v>0.0255</v>
      </c>
      <c r="AE43" s="8" t="n">
        <v>0.0208</v>
      </c>
      <c r="AF43" s="8" t="n">
        <v>0.044</v>
      </c>
      <c r="AG43" s="8" t="n">
        <v>0.0625</v>
      </c>
      <c r="AH43" s="8" t="n">
        <v>0.0069</v>
      </c>
      <c r="AI43" s="8" t="n">
        <v>0.8565</v>
      </c>
      <c r="AJ43" s="8" t="n">
        <v>1.1676</v>
      </c>
      <c r="AK43" s="8" t="n">
        <v>69.53</v>
      </c>
    </row>
    <row r="44">
      <c r="A44" s="9" t="n">
        <v>34</v>
      </c>
      <c r="B44" s="9" t="inlineStr">
        <is>
          <t>铜梁区</t>
        </is>
      </c>
      <c r="C44" s="9" t="n">
        <v>1.2</v>
      </c>
      <c r="D44" s="9" t="n">
        <v>12.05</v>
      </c>
      <c r="E44" s="9" t="n">
        <v>2.41</v>
      </c>
      <c r="F44" s="9" t="n">
        <v>2.41</v>
      </c>
      <c r="G44" s="9" t="n">
        <v>9.640000000000001</v>
      </c>
      <c r="H44" s="9" t="n">
        <v>13.25</v>
      </c>
      <c r="I44" s="9" t="n">
        <v>20.48</v>
      </c>
      <c r="J44" s="9" t="n">
        <v>0</v>
      </c>
      <c r="K44" s="9" t="n">
        <v>1.2</v>
      </c>
      <c r="L44" s="9" t="n">
        <v>0</v>
      </c>
      <c r="M44" s="9" t="n">
        <v>15.66</v>
      </c>
      <c r="N44" s="9" t="n">
        <v>4.82</v>
      </c>
      <c r="O44" s="9" t="n">
        <v>9.640000000000001</v>
      </c>
      <c r="P44" s="9" t="n">
        <v>1.2</v>
      </c>
      <c r="Q44" s="9" t="n">
        <v>0</v>
      </c>
      <c r="R44" s="9" t="n">
        <v>6.02</v>
      </c>
      <c r="S44" s="9" t="n">
        <v>0.0505</v>
      </c>
      <c r="T44" s="9" t="n">
        <v>0.058</v>
      </c>
      <c r="U44" s="9" t="n">
        <v>0.0384</v>
      </c>
      <c r="V44" s="9" t="n">
        <v>0.0384</v>
      </c>
      <c r="W44" s="9" t="n">
        <v>0.0339</v>
      </c>
      <c r="X44" s="9" t="n">
        <v>0.07000000000000001</v>
      </c>
      <c r="Y44" s="9" t="n">
        <v>0.1423</v>
      </c>
      <c r="Z44" s="9" t="n">
        <v>0.0625</v>
      </c>
      <c r="AA44" s="9" t="n">
        <v>0.0505</v>
      </c>
      <c r="AB44" s="9" t="n">
        <v>0.0625</v>
      </c>
      <c r="AC44" s="9" t="n">
        <v>0.0941</v>
      </c>
      <c r="AD44" s="9" t="n">
        <v>0.0143</v>
      </c>
      <c r="AE44" s="9" t="n">
        <v>0.0339</v>
      </c>
      <c r="AF44" s="9" t="n">
        <v>0.0505</v>
      </c>
      <c r="AG44" s="9" t="n">
        <v>0.0625</v>
      </c>
      <c r="AH44" s="9" t="n">
        <v>0.0023</v>
      </c>
      <c r="AI44" s="9" t="n">
        <v>0.8645</v>
      </c>
      <c r="AJ44" s="9" t="n">
        <v>1.1568</v>
      </c>
      <c r="AK44" s="9" t="n">
        <v>69.19</v>
      </c>
    </row>
    <row r="45">
      <c r="A45" s="8" t="n">
        <v>35</v>
      </c>
      <c r="B45" s="8" t="inlineStr">
        <is>
          <t>涪陵区</t>
        </is>
      </c>
      <c r="C45" s="8" t="n">
        <v>0.53</v>
      </c>
      <c r="D45" s="8" t="n">
        <v>2.89</v>
      </c>
      <c r="E45" s="8" t="n">
        <v>2.37</v>
      </c>
      <c r="F45" s="8" t="n">
        <v>2.11</v>
      </c>
      <c r="G45" s="8" t="n">
        <v>2.37</v>
      </c>
      <c r="H45" s="8" t="n">
        <v>4.21</v>
      </c>
      <c r="I45" s="8" t="n">
        <v>17.11</v>
      </c>
      <c r="J45" s="8" t="n">
        <v>1.32</v>
      </c>
      <c r="K45" s="8" t="n">
        <v>0.53</v>
      </c>
      <c r="L45" s="8" t="n">
        <v>3.42</v>
      </c>
      <c r="M45" s="8" t="n">
        <v>15.26</v>
      </c>
      <c r="N45" s="8" t="n">
        <v>6.58</v>
      </c>
      <c r="O45" s="8" t="n">
        <v>11.58</v>
      </c>
      <c r="P45" s="8" t="n">
        <v>3.16</v>
      </c>
      <c r="Q45" s="8" t="n">
        <v>1.05</v>
      </c>
      <c r="R45" s="8" t="n">
        <v>25.53</v>
      </c>
      <c r="S45" s="8" t="n">
        <v>0.0572</v>
      </c>
      <c r="T45" s="8" t="n">
        <v>0.0336</v>
      </c>
      <c r="U45" s="8" t="n">
        <v>0.0388</v>
      </c>
      <c r="V45" s="8" t="n">
        <v>0.0414</v>
      </c>
      <c r="W45" s="8" t="n">
        <v>0.0388</v>
      </c>
      <c r="X45" s="8" t="n">
        <v>0.0204</v>
      </c>
      <c r="Y45" s="8" t="n">
        <v>0.1086</v>
      </c>
      <c r="Z45" s="8" t="n">
        <v>0.0493</v>
      </c>
      <c r="AA45" s="8" t="n">
        <v>0.0572</v>
      </c>
      <c r="AB45" s="8" t="n">
        <v>0.0283</v>
      </c>
      <c r="AC45" s="8" t="n">
        <v>0.0901</v>
      </c>
      <c r="AD45" s="8" t="n">
        <v>0.0033</v>
      </c>
      <c r="AE45" s="8" t="n">
        <v>0.0533</v>
      </c>
      <c r="AF45" s="8" t="n">
        <v>0.0309</v>
      </c>
      <c r="AG45" s="8" t="n">
        <v>0.052</v>
      </c>
      <c r="AH45" s="8" t="n">
        <v>0.1928</v>
      </c>
      <c r="AI45" s="8" t="n">
        <v>0.8961</v>
      </c>
      <c r="AJ45" s="8" t="n">
        <v>1.116</v>
      </c>
      <c r="AK45" s="8" t="n">
        <v>67.89</v>
      </c>
    </row>
    <row r="46">
      <c r="A46" s="9" t="n">
        <v>36</v>
      </c>
      <c r="B46" s="9" t="inlineStr">
        <is>
          <t>丰都县</t>
        </is>
      </c>
      <c r="C46" s="9" t="n">
        <v>0.76</v>
      </c>
      <c r="D46" s="9" t="n">
        <v>1.53</v>
      </c>
      <c r="E46" s="9" t="n">
        <v>4.58</v>
      </c>
      <c r="F46" s="9" t="n">
        <v>0.76</v>
      </c>
      <c r="G46" s="9" t="n">
        <v>2.29</v>
      </c>
      <c r="H46" s="9" t="n">
        <v>1.53</v>
      </c>
      <c r="I46" s="9" t="n">
        <v>9.16</v>
      </c>
      <c r="J46" s="9" t="n">
        <v>0.76</v>
      </c>
      <c r="K46" s="9" t="n">
        <v>1.53</v>
      </c>
      <c r="L46" s="9" t="n">
        <v>9.16</v>
      </c>
      <c r="M46" s="9" t="n">
        <v>16.79</v>
      </c>
      <c r="N46" s="9" t="n">
        <v>12.98</v>
      </c>
      <c r="O46" s="9" t="n">
        <v>21.37</v>
      </c>
      <c r="P46" s="9" t="n">
        <v>3.82</v>
      </c>
      <c r="Q46" s="9" t="n">
        <v>0</v>
      </c>
      <c r="R46" s="9" t="n">
        <v>12.98</v>
      </c>
      <c r="S46" s="9" t="n">
        <v>0.0549</v>
      </c>
      <c r="T46" s="9" t="n">
        <v>0.0472</v>
      </c>
      <c r="U46" s="9" t="n">
        <v>0.0167</v>
      </c>
      <c r="V46" s="9" t="n">
        <v>0.0549</v>
      </c>
      <c r="W46" s="9" t="n">
        <v>0.0396</v>
      </c>
      <c r="X46" s="9" t="n">
        <v>0.0472</v>
      </c>
      <c r="Y46" s="9" t="n">
        <v>0.0291</v>
      </c>
      <c r="Z46" s="9" t="n">
        <v>0.0549</v>
      </c>
      <c r="AA46" s="9" t="n">
        <v>0.0472</v>
      </c>
      <c r="AB46" s="9" t="n">
        <v>0.0291</v>
      </c>
      <c r="AC46" s="9" t="n">
        <v>0.1054</v>
      </c>
      <c r="AD46" s="9" t="n">
        <v>0.0673</v>
      </c>
      <c r="AE46" s="9" t="n">
        <v>0.1512</v>
      </c>
      <c r="AF46" s="9" t="n">
        <v>0.0243</v>
      </c>
      <c r="AG46" s="9" t="n">
        <v>0.0625</v>
      </c>
      <c r="AH46" s="9" t="n">
        <v>0.0673</v>
      </c>
      <c r="AI46" s="9" t="n">
        <v>0.8989</v>
      </c>
      <c r="AJ46" s="9" t="n">
        <v>1.1125</v>
      </c>
      <c r="AK46" s="9" t="n">
        <v>67.77</v>
      </c>
    </row>
    <row r="47">
      <c r="A47" s="8" t="n">
        <v>37</v>
      </c>
      <c r="B47" s="8" t="inlineStr">
        <is>
          <t>垫江县</t>
        </is>
      </c>
      <c r="C47" s="8" t="n">
        <v>0</v>
      </c>
      <c r="D47" s="8" t="n">
        <v>0</v>
      </c>
      <c r="E47" s="8" t="n">
        <v>12.31</v>
      </c>
      <c r="F47" s="8" t="n">
        <v>6.15</v>
      </c>
      <c r="G47" s="8" t="n">
        <v>0</v>
      </c>
      <c r="H47" s="8" t="n">
        <v>3.08</v>
      </c>
      <c r="I47" s="8" t="n">
        <v>9.23</v>
      </c>
      <c r="J47" s="8" t="n">
        <v>0</v>
      </c>
      <c r="K47" s="8" t="n">
        <v>1.54</v>
      </c>
      <c r="L47" s="8" t="n">
        <v>7.69</v>
      </c>
      <c r="M47" s="8" t="n">
        <v>26.15</v>
      </c>
      <c r="N47" s="8" t="n">
        <v>6.15</v>
      </c>
      <c r="O47" s="8" t="n">
        <v>21.54</v>
      </c>
      <c r="P47" s="8" t="n">
        <v>3.08</v>
      </c>
      <c r="Q47" s="8" t="n">
        <v>1.54</v>
      </c>
      <c r="R47" s="8" t="n">
        <v>1.54</v>
      </c>
      <c r="S47" s="8" t="n">
        <v>0.0625</v>
      </c>
      <c r="T47" s="8" t="n">
        <v>0.0625</v>
      </c>
      <c r="U47" s="8" t="n">
        <v>0.0606</v>
      </c>
      <c r="V47" s="8" t="n">
        <v>0.001</v>
      </c>
      <c r="W47" s="8" t="n">
        <v>0.0625</v>
      </c>
      <c r="X47" s="8" t="n">
        <v>0.0317</v>
      </c>
      <c r="Y47" s="8" t="n">
        <v>0.0298</v>
      </c>
      <c r="Z47" s="8" t="n">
        <v>0.0625</v>
      </c>
      <c r="AA47" s="8" t="n">
        <v>0.0471</v>
      </c>
      <c r="AB47" s="8" t="n">
        <v>0.0144</v>
      </c>
      <c r="AC47" s="8" t="n">
        <v>0.199</v>
      </c>
      <c r="AD47" s="8" t="n">
        <v>0.001</v>
      </c>
      <c r="AE47" s="8" t="n">
        <v>0.1529</v>
      </c>
      <c r="AF47" s="8" t="n">
        <v>0.0317</v>
      </c>
      <c r="AG47" s="8" t="n">
        <v>0.0471</v>
      </c>
      <c r="AH47" s="8" t="n">
        <v>0.0471</v>
      </c>
      <c r="AI47" s="8" t="n">
        <v>0.9135</v>
      </c>
      <c r="AJ47" s="8" t="n">
        <v>1.0947</v>
      </c>
      <c r="AK47" s="8" t="n">
        <v>67.20999999999999</v>
      </c>
    </row>
    <row r="48">
      <c r="A48" s="9" t="n">
        <v>38</v>
      </c>
      <c r="B48" s="9" t="inlineStr">
        <is>
          <t>沙坪坝区</t>
        </is>
      </c>
      <c r="C48" s="9" t="n">
        <v>0</v>
      </c>
      <c r="D48" s="9" t="n">
        <v>13.33</v>
      </c>
      <c r="E48" s="9" t="n">
        <v>5.33</v>
      </c>
      <c r="F48" s="9" t="n">
        <v>2.67</v>
      </c>
      <c r="G48" s="9" t="n">
        <v>2.67</v>
      </c>
      <c r="H48" s="9" t="n">
        <v>12</v>
      </c>
      <c r="I48" s="9" t="n">
        <v>16</v>
      </c>
      <c r="J48" s="9" t="n">
        <v>0</v>
      </c>
      <c r="K48" s="9" t="n">
        <v>0</v>
      </c>
      <c r="L48" s="9" t="n">
        <v>1.33</v>
      </c>
      <c r="M48" s="9" t="n">
        <v>18.67</v>
      </c>
      <c r="N48" s="9" t="n">
        <v>2.67</v>
      </c>
      <c r="O48" s="9" t="n">
        <v>17.33</v>
      </c>
      <c r="P48" s="9" t="n">
        <v>5.33</v>
      </c>
      <c r="Q48" s="9" t="n">
        <v>0</v>
      </c>
      <c r="R48" s="9" t="n">
        <v>2.67</v>
      </c>
      <c r="S48" s="9" t="n">
        <v>0.0625</v>
      </c>
      <c r="T48" s="9" t="n">
        <v>0.0708</v>
      </c>
      <c r="U48" s="9" t="n">
        <v>0.0092</v>
      </c>
      <c r="V48" s="9" t="n">
        <v>0.0358</v>
      </c>
      <c r="W48" s="9" t="n">
        <v>0.0358</v>
      </c>
      <c r="X48" s="9" t="n">
        <v>0.0575</v>
      </c>
      <c r="Y48" s="9" t="n">
        <v>0.0975</v>
      </c>
      <c r="Z48" s="9" t="n">
        <v>0.0625</v>
      </c>
      <c r="AA48" s="9" t="n">
        <v>0.0625</v>
      </c>
      <c r="AB48" s="9" t="n">
        <v>0.0492</v>
      </c>
      <c r="AC48" s="9" t="n">
        <v>0.1242</v>
      </c>
      <c r="AD48" s="9" t="n">
        <v>0.0358</v>
      </c>
      <c r="AE48" s="9" t="n">
        <v>0.1108</v>
      </c>
      <c r="AF48" s="9" t="n">
        <v>0.0092</v>
      </c>
      <c r="AG48" s="9" t="n">
        <v>0.0625</v>
      </c>
      <c r="AH48" s="9" t="n">
        <v>0.0358</v>
      </c>
      <c r="AI48" s="9" t="n">
        <v>0.9217</v>
      </c>
      <c r="AJ48" s="9" t="n">
        <v>1.085</v>
      </c>
      <c r="AK48" s="9" t="n">
        <v>66.90000000000001</v>
      </c>
    </row>
    <row r="49">
      <c r="A49" s="8" t="n">
        <v>39</v>
      </c>
      <c r="B49" s="8" t="inlineStr">
        <is>
          <t>科学城重庆高新区</t>
        </is>
      </c>
      <c r="C49" s="8" t="n">
        <v>0</v>
      </c>
      <c r="D49" s="8" t="n">
        <v>4.21</v>
      </c>
      <c r="E49" s="8" t="n">
        <v>9.470000000000001</v>
      </c>
      <c r="F49" s="8" t="n">
        <v>3.16</v>
      </c>
      <c r="G49" s="8" t="n">
        <v>0</v>
      </c>
      <c r="H49" s="8" t="n">
        <v>2.11</v>
      </c>
      <c r="I49" s="8" t="n">
        <v>7.37</v>
      </c>
      <c r="J49" s="8" t="n">
        <v>1.05</v>
      </c>
      <c r="K49" s="8" t="n">
        <v>1.05</v>
      </c>
      <c r="L49" s="8" t="n">
        <v>3.16</v>
      </c>
      <c r="M49" s="8" t="n">
        <v>20</v>
      </c>
      <c r="N49" s="8" t="n">
        <v>10.53</v>
      </c>
      <c r="O49" s="8" t="n">
        <v>32.63</v>
      </c>
      <c r="P49" s="8" t="n">
        <v>3.16</v>
      </c>
      <c r="Q49" s="8" t="n">
        <v>0</v>
      </c>
      <c r="R49" s="8" t="n">
        <v>2.11</v>
      </c>
      <c r="S49" s="8" t="n">
        <v>0.0625</v>
      </c>
      <c r="T49" s="8" t="n">
        <v>0.0204</v>
      </c>
      <c r="U49" s="8" t="n">
        <v>0.0322</v>
      </c>
      <c r="V49" s="8" t="n">
        <v>0.0309</v>
      </c>
      <c r="W49" s="8" t="n">
        <v>0.0625</v>
      </c>
      <c r="X49" s="8" t="n">
        <v>0.0414</v>
      </c>
      <c r="Y49" s="8" t="n">
        <v>0.0112</v>
      </c>
      <c r="Z49" s="8" t="n">
        <v>0.052</v>
      </c>
      <c r="AA49" s="8" t="n">
        <v>0.052</v>
      </c>
      <c r="AB49" s="8" t="n">
        <v>0.0309</v>
      </c>
      <c r="AC49" s="8" t="n">
        <v>0.1375</v>
      </c>
      <c r="AD49" s="8" t="n">
        <v>0.0428</v>
      </c>
      <c r="AE49" s="8" t="n">
        <v>0.2638</v>
      </c>
      <c r="AF49" s="8" t="n">
        <v>0.0309</v>
      </c>
      <c r="AG49" s="8" t="n">
        <v>0.0625</v>
      </c>
      <c r="AH49" s="8" t="n">
        <v>0.0414</v>
      </c>
      <c r="AI49" s="8" t="n">
        <v>0.975</v>
      </c>
      <c r="AJ49" s="8" t="n">
        <v>1.0256</v>
      </c>
      <c r="AK49" s="8" t="n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20" customWidth="1" min="5" max="5"/>
    <col width="18" customWidth="1" min="6" max="6"/>
  </cols>
  <sheetData>
    <row r="1">
      <c r="A1" s="5" t="inlineStr">
        <is>
          <t>衡量指标</t>
        </is>
      </c>
      <c r="B1" s="6" t="inlineStr">
        <is>
          <t>中央媒体-报道传播速度</t>
        </is>
      </c>
    </row>
    <row r="2">
      <c r="A2" s="5" t="inlineStr">
        <is>
          <t>一级权重</t>
        </is>
      </c>
      <c r="B2" s="6" t="inlineStr">
        <is>
          <t>45%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央视/人民/光明/新华 4 家</t>
        </is>
      </c>
    </row>
    <row r="5">
      <c r="A5" s="5" t="inlineStr">
        <is>
          <t>公式</t>
        </is>
      </c>
      <c r="B5" s="6" t="inlineStr">
        <is>
          <t>freq = 报道总数 / 发布天数(COUNT DISTINCT YYYY-MM-DD)</t>
        </is>
      </c>
    </row>
    <row r="6">
      <c r="A6" s="5" t="inlineStr">
        <is>
          <t>举例</t>
        </is>
      </c>
      <c r="B6" s="6" t="inlineStr">
        <is>
          <t>如某区某 tier 60 篇报道,分布在 30 个不同日期 → freq=60/30=2.0 篇/天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按速度原始值降序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报道总数</t>
        </is>
      </c>
      <c r="D10" s="7" t="inlineStr">
        <is>
          <t>发布天数</t>
        </is>
      </c>
      <c r="E10" s="7" t="inlineStr">
        <is>
          <t>速度原始 (报道/天)</t>
        </is>
      </c>
      <c r="F10" s="7" t="inlineStr">
        <is>
          <t>速度得分 (65-95)</t>
        </is>
      </c>
    </row>
    <row r="11">
      <c r="A11" s="8" t="n">
        <v>1</v>
      </c>
      <c r="B11" s="8" t="inlineStr">
        <is>
          <t>巴南区</t>
        </is>
      </c>
      <c r="C11" s="8" t="n">
        <v>91</v>
      </c>
      <c r="D11" s="8" t="n">
        <v>44</v>
      </c>
      <c r="E11" s="8" t="n">
        <v>2.0682</v>
      </c>
      <c r="F11" s="8" t="n">
        <v>95</v>
      </c>
    </row>
    <row r="12">
      <c r="A12" s="9" t="n">
        <v>2</v>
      </c>
      <c r="B12" s="9" t="inlineStr">
        <is>
          <t>涪陵区</t>
        </is>
      </c>
      <c r="C12" s="9" t="n">
        <v>195</v>
      </c>
      <c r="D12" s="9" t="n">
        <v>95</v>
      </c>
      <c r="E12" s="9" t="n">
        <v>2.0526</v>
      </c>
      <c r="F12" s="9" t="n">
        <v>94.48999999999999</v>
      </c>
    </row>
    <row r="13">
      <c r="A13" s="8" t="n">
        <v>3</v>
      </c>
      <c r="B13" s="8" t="inlineStr">
        <is>
          <t>秀山县</t>
        </is>
      </c>
      <c r="C13" s="8" t="n">
        <v>125</v>
      </c>
      <c r="D13" s="8" t="n">
        <v>69</v>
      </c>
      <c r="E13" s="8" t="n">
        <v>1.8116</v>
      </c>
      <c r="F13" s="8" t="n">
        <v>86.58</v>
      </c>
    </row>
    <row r="14">
      <c r="A14" s="9" t="n">
        <v>4</v>
      </c>
      <c r="B14" s="9" t="inlineStr">
        <is>
          <t>渝中区</t>
        </is>
      </c>
      <c r="C14" s="9" t="n">
        <v>148</v>
      </c>
      <c r="D14" s="9" t="n">
        <v>87</v>
      </c>
      <c r="E14" s="9" t="n">
        <v>1.7011</v>
      </c>
      <c r="F14" s="9" t="n">
        <v>82.95999999999999</v>
      </c>
    </row>
    <row r="15">
      <c r="A15" s="8" t="n">
        <v>5</v>
      </c>
      <c r="B15" s="8" t="inlineStr">
        <is>
          <t>南川区</t>
        </is>
      </c>
      <c r="C15" s="8" t="n">
        <v>147</v>
      </c>
      <c r="D15" s="8" t="n">
        <v>87</v>
      </c>
      <c r="E15" s="8" t="n">
        <v>1.6897</v>
      </c>
      <c r="F15" s="8" t="n">
        <v>82.58</v>
      </c>
    </row>
    <row r="16">
      <c r="A16" s="9" t="n">
        <v>6</v>
      </c>
      <c r="B16" s="9" t="inlineStr">
        <is>
          <t>梁平区</t>
        </is>
      </c>
      <c r="C16" s="9" t="n">
        <v>109</v>
      </c>
      <c r="D16" s="9" t="n">
        <v>65</v>
      </c>
      <c r="E16" s="9" t="n">
        <v>1.6769</v>
      </c>
      <c r="F16" s="9" t="n">
        <v>82.16</v>
      </c>
    </row>
    <row r="17">
      <c r="A17" s="8" t="n">
        <v>7</v>
      </c>
      <c r="B17" s="8" t="inlineStr">
        <is>
          <t>九龙坡区</t>
        </is>
      </c>
      <c r="C17" s="8" t="n">
        <v>83</v>
      </c>
      <c r="D17" s="8" t="n">
        <v>51</v>
      </c>
      <c r="E17" s="8" t="n">
        <v>1.6275</v>
      </c>
      <c r="F17" s="8" t="n">
        <v>80.54000000000001</v>
      </c>
    </row>
    <row r="18">
      <c r="A18" s="9" t="n">
        <v>8</v>
      </c>
      <c r="B18" s="9" t="inlineStr">
        <is>
          <t>长寿区</t>
        </is>
      </c>
      <c r="C18" s="9" t="n">
        <v>217</v>
      </c>
      <c r="D18" s="9" t="n">
        <v>134</v>
      </c>
      <c r="E18" s="9" t="n">
        <v>1.6194</v>
      </c>
      <c r="F18" s="9" t="n">
        <v>80.28</v>
      </c>
    </row>
    <row r="19">
      <c r="A19" s="8" t="n">
        <v>9</v>
      </c>
      <c r="B19" s="8" t="inlineStr">
        <is>
          <t>酉阳县</t>
        </is>
      </c>
      <c r="C19" s="8" t="n">
        <v>63</v>
      </c>
      <c r="D19" s="8" t="n">
        <v>39</v>
      </c>
      <c r="E19" s="8" t="n">
        <v>1.6154</v>
      </c>
      <c r="F19" s="8" t="n">
        <v>80.14</v>
      </c>
    </row>
    <row r="20">
      <c r="A20" s="9" t="n">
        <v>10</v>
      </c>
      <c r="B20" s="9" t="inlineStr">
        <is>
          <t>云阳县</t>
        </is>
      </c>
      <c r="C20" s="9" t="n">
        <v>64</v>
      </c>
      <c r="D20" s="9" t="n">
        <v>40</v>
      </c>
      <c r="E20" s="9" t="n">
        <v>1.6</v>
      </c>
      <c r="F20" s="9" t="n">
        <v>79.64</v>
      </c>
    </row>
    <row r="21">
      <c r="A21" s="8" t="n">
        <v>11</v>
      </c>
      <c r="B21" s="8" t="inlineStr">
        <is>
          <t>开州区</t>
        </is>
      </c>
      <c r="C21" s="8" t="n">
        <v>114</v>
      </c>
      <c r="D21" s="8" t="n">
        <v>72</v>
      </c>
      <c r="E21" s="8" t="n">
        <v>1.5833</v>
      </c>
      <c r="F21" s="8" t="n">
        <v>79.09</v>
      </c>
    </row>
    <row r="22">
      <c r="A22" s="9" t="n">
        <v>12</v>
      </c>
      <c r="B22" s="9" t="inlineStr">
        <is>
          <t>南岸区</t>
        </is>
      </c>
      <c r="C22" s="9" t="n">
        <v>197</v>
      </c>
      <c r="D22" s="9" t="n">
        <v>125</v>
      </c>
      <c r="E22" s="9" t="n">
        <v>1.576</v>
      </c>
      <c r="F22" s="9" t="n">
        <v>78.84999999999999</v>
      </c>
    </row>
    <row r="23">
      <c r="A23" s="8" t="n">
        <v>13</v>
      </c>
      <c r="B23" s="8" t="inlineStr">
        <is>
          <t>巫山县</t>
        </is>
      </c>
      <c r="C23" s="8" t="n">
        <v>113</v>
      </c>
      <c r="D23" s="8" t="n">
        <v>72</v>
      </c>
      <c r="E23" s="8" t="n">
        <v>1.5694</v>
      </c>
      <c r="F23" s="8" t="n">
        <v>78.64</v>
      </c>
    </row>
    <row r="24">
      <c r="A24" s="9" t="n">
        <v>14</v>
      </c>
      <c r="B24" s="9" t="inlineStr">
        <is>
          <t>奉节县</t>
        </is>
      </c>
      <c r="C24" s="9" t="n">
        <v>91</v>
      </c>
      <c r="D24" s="9" t="n">
        <v>60</v>
      </c>
      <c r="E24" s="9" t="n">
        <v>1.5167</v>
      </c>
      <c r="F24" s="9" t="n">
        <v>76.90000000000001</v>
      </c>
    </row>
    <row r="25">
      <c r="A25" s="8" t="n">
        <v>15</v>
      </c>
      <c r="B25" s="8" t="inlineStr">
        <is>
          <t>潼南区</t>
        </is>
      </c>
      <c r="C25" s="8" t="n">
        <v>59</v>
      </c>
      <c r="D25" s="8" t="n">
        <v>39</v>
      </c>
      <c r="E25" s="8" t="n">
        <v>1.5128</v>
      </c>
      <c r="F25" s="8" t="n">
        <v>76.78</v>
      </c>
    </row>
    <row r="26">
      <c r="A26" s="9" t="n">
        <v>16</v>
      </c>
      <c r="B26" s="9" t="inlineStr">
        <is>
          <t>彭水县</t>
        </is>
      </c>
      <c r="C26" s="9" t="n">
        <v>65</v>
      </c>
      <c r="D26" s="9" t="n">
        <v>43</v>
      </c>
      <c r="E26" s="9" t="n">
        <v>1.5116</v>
      </c>
      <c r="F26" s="9" t="n">
        <v>76.73999999999999</v>
      </c>
    </row>
    <row r="27">
      <c r="A27" s="8" t="n">
        <v>17</v>
      </c>
      <c r="B27" s="8" t="inlineStr">
        <is>
          <t>垫江县</t>
        </is>
      </c>
      <c r="C27" s="8" t="n">
        <v>42</v>
      </c>
      <c r="D27" s="8" t="n">
        <v>28</v>
      </c>
      <c r="E27" s="8" t="n">
        <v>1.5</v>
      </c>
      <c r="F27" s="8" t="n">
        <v>76.36</v>
      </c>
    </row>
    <row r="28">
      <c r="A28" s="9" t="n">
        <v>18</v>
      </c>
      <c r="B28" s="9" t="inlineStr">
        <is>
          <t>石柱县</t>
        </is>
      </c>
      <c r="C28" s="9" t="n">
        <v>87</v>
      </c>
      <c r="D28" s="9" t="n">
        <v>59</v>
      </c>
      <c r="E28" s="9" t="n">
        <v>1.4746</v>
      </c>
      <c r="F28" s="9" t="n">
        <v>75.52</v>
      </c>
    </row>
    <row r="29">
      <c r="A29" s="8" t="n">
        <v>19</v>
      </c>
      <c r="B29" s="8" t="inlineStr">
        <is>
          <t>两江新区</t>
        </is>
      </c>
      <c r="C29" s="8" t="n">
        <v>192</v>
      </c>
      <c r="D29" s="8" t="n">
        <v>131</v>
      </c>
      <c r="E29" s="8" t="n">
        <v>1.4656</v>
      </c>
      <c r="F29" s="8" t="n">
        <v>75.23</v>
      </c>
    </row>
    <row r="30">
      <c r="A30" s="9" t="n">
        <v>20</v>
      </c>
      <c r="B30" s="9" t="inlineStr">
        <is>
          <t>永川区</t>
        </is>
      </c>
      <c r="C30" s="9" t="n">
        <v>112</v>
      </c>
      <c r="D30" s="9" t="n">
        <v>77</v>
      </c>
      <c r="E30" s="9" t="n">
        <v>1.4545</v>
      </c>
      <c r="F30" s="9" t="n">
        <v>74.87</v>
      </c>
    </row>
    <row r="31">
      <c r="A31" s="8" t="n">
        <v>21</v>
      </c>
      <c r="B31" s="8" t="inlineStr">
        <is>
          <t>大足区</t>
        </is>
      </c>
      <c r="C31" s="8" t="n">
        <v>71</v>
      </c>
      <c r="D31" s="8" t="n">
        <v>49</v>
      </c>
      <c r="E31" s="8" t="n">
        <v>1.449</v>
      </c>
      <c r="F31" s="8" t="n">
        <v>74.68000000000001</v>
      </c>
    </row>
    <row r="32">
      <c r="A32" s="9" t="n">
        <v>22</v>
      </c>
      <c r="B32" s="9" t="inlineStr">
        <is>
          <t>武隆区</t>
        </is>
      </c>
      <c r="C32" s="9" t="n">
        <v>92</v>
      </c>
      <c r="D32" s="9" t="n">
        <v>65</v>
      </c>
      <c r="E32" s="9" t="n">
        <v>1.4154</v>
      </c>
      <c r="F32" s="9" t="n">
        <v>73.58</v>
      </c>
    </row>
    <row r="33">
      <c r="A33" s="8" t="n">
        <v>23</v>
      </c>
      <c r="B33" s="8" t="inlineStr">
        <is>
          <t>科学城重庆高新区</t>
        </is>
      </c>
      <c r="C33" s="8" t="n">
        <v>48</v>
      </c>
      <c r="D33" s="8" t="n">
        <v>34</v>
      </c>
      <c r="E33" s="8" t="n">
        <v>1.4118</v>
      </c>
      <c r="F33" s="8" t="n">
        <v>73.45999999999999</v>
      </c>
    </row>
    <row r="34">
      <c r="A34" s="9" t="n">
        <v>24</v>
      </c>
      <c r="B34" s="9" t="inlineStr">
        <is>
          <t>荣昌区</t>
        </is>
      </c>
      <c r="C34" s="9" t="n">
        <v>74</v>
      </c>
      <c r="D34" s="9" t="n">
        <v>53</v>
      </c>
      <c r="E34" s="9" t="n">
        <v>1.3962</v>
      </c>
      <c r="F34" s="9" t="n">
        <v>72.95</v>
      </c>
    </row>
    <row r="35">
      <c r="A35" s="8" t="n">
        <v>25</v>
      </c>
      <c r="B35" s="8" t="inlineStr">
        <is>
          <t>万州区</t>
        </is>
      </c>
      <c r="C35" s="8" t="n">
        <v>108</v>
      </c>
      <c r="D35" s="8" t="n">
        <v>78</v>
      </c>
      <c r="E35" s="8" t="n">
        <v>1.3846</v>
      </c>
      <c r="F35" s="8" t="n">
        <v>72.56999999999999</v>
      </c>
    </row>
    <row r="36">
      <c r="A36" s="9" t="n">
        <v>26</v>
      </c>
      <c r="B36" s="9" t="inlineStr">
        <is>
          <t>合川区</t>
        </is>
      </c>
      <c r="C36" s="9" t="n">
        <v>49</v>
      </c>
      <c r="D36" s="9" t="n">
        <v>36</v>
      </c>
      <c r="E36" s="9" t="n">
        <v>1.3611</v>
      </c>
      <c r="F36" s="9" t="n">
        <v>71.8</v>
      </c>
    </row>
    <row r="37">
      <c r="A37" s="8" t="n">
        <v>27</v>
      </c>
      <c r="B37" s="8" t="inlineStr">
        <is>
          <t>忠县</t>
        </is>
      </c>
      <c r="C37" s="8" t="n">
        <v>38</v>
      </c>
      <c r="D37" s="8" t="n">
        <v>28</v>
      </c>
      <c r="E37" s="8" t="n">
        <v>1.3571</v>
      </c>
      <c r="F37" s="8" t="n">
        <v>71.67</v>
      </c>
    </row>
    <row r="38">
      <c r="A38" s="9" t="n">
        <v>28</v>
      </c>
      <c r="B38" s="9" t="inlineStr">
        <is>
          <t>黔江区</t>
        </is>
      </c>
      <c r="C38" s="9" t="n">
        <v>69</v>
      </c>
      <c r="D38" s="9" t="n">
        <v>52</v>
      </c>
      <c r="E38" s="9" t="n">
        <v>1.3269</v>
      </c>
      <c r="F38" s="9" t="n">
        <v>70.68000000000001</v>
      </c>
    </row>
    <row r="39">
      <c r="A39" s="8" t="n">
        <v>29</v>
      </c>
      <c r="B39" s="8" t="inlineStr">
        <is>
          <t>北碚区</t>
        </is>
      </c>
      <c r="C39" s="8" t="n">
        <v>61</v>
      </c>
      <c r="D39" s="8" t="n">
        <v>46</v>
      </c>
      <c r="E39" s="8" t="n">
        <v>1.3261</v>
      </c>
      <c r="F39" s="8" t="n">
        <v>70.65000000000001</v>
      </c>
    </row>
    <row r="40">
      <c r="A40" s="9" t="n">
        <v>30</v>
      </c>
      <c r="B40" s="9" t="inlineStr">
        <is>
          <t>丰都县</t>
        </is>
      </c>
      <c r="C40" s="9" t="n">
        <v>61</v>
      </c>
      <c r="D40" s="9" t="n">
        <v>46</v>
      </c>
      <c r="E40" s="9" t="n">
        <v>1.3261</v>
      </c>
      <c r="F40" s="9" t="n">
        <v>70.65000000000001</v>
      </c>
    </row>
    <row r="41">
      <c r="A41" s="8" t="n">
        <v>31</v>
      </c>
      <c r="B41" s="8" t="inlineStr">
        <is>
          <t>铜梁区</t>
        </is>
      </c>
      <c r="C41" s="8" t="n">
        <v>48</v>
      </c>
      <c r="D41" s="8" t="n">
        <v>38</v>
      </c>
      <c r="E41" s="8" t="n">
        <v>1.2632</v>
      </c>
      <c r="F41" s="8" t="n">
        <v>68.59</v>
      </c>
    </row>
    <row r="42">
      <c r="A42" s="9" t="n">
        <v>32</v>
      </c>
      <c r="B42" s="9" t="inlineStr">
        <is>
          <t>巫溪县</t>
        </is>
      </c>
      <c r="C42" s="9" t="n">
        <v>35</v>
      </c>
      <c r="D42" s="9" t="n">
        <v>28</v>
      </c>
      <c r="E42" s="9" t="n">
        <v>1.25</v>
      </c>
      <c r="F42" s="9" t="n">
        <v>68.15000000000001</v>
      </c>
    </row>
    <row r="43">
      <c r="A43" s="8" t="n">
        <v>33</v>
      </c>
      <c r="B43" s="8" t="inlineStr">
        <is>
          <t>江津区</t>
        </is>
      </c>
      <c r="C43" s="8" t="n">
        <v>93</v>
      </c>
      <c r="D43" s="8" t="n">
        <v>76</v>
      </c>
      <c r="E43" s="8" t="n">
        <v>1.2237</v>
      </c>
      <c r="F43" s="8" t="n">
        <v>67.29000000000001</v>
      </c>
    </row>
    <row r="44">
      <c r="A44" s="9" t="n">
        <v>34</v>
      </c>
      <c r="B44" s="9" t="inlineStr">
        <is>
          <t>城口县</t>
        </is>
      </c>
      <c r="C44" s="9" t="n">
        <v>62</v>
      </c>
      <c r="D44" s="9" t="n">
        <v>51</v>
      </c>
      <c r="E44" s="9" t="n">
        <v>1.2157</v>
      </c>
      <c r="F44" s="9" t="n">
        <v>67.03</v>
      </c>
    </row>
    <row r="45">
      <c r="A45" s="8" t="n">
        <v>35</v>
      </c>
      <c r="B45" s="8" t="inlineStr">
        <is>
          <t>璧山区</t>
        </is>
      </c>
      <c r="C45" s="8" t="n">
        <v>29</v>
      </c>
      <c r="D45" s="8" t="n">
        <v>24</v>
      </c>
      <c r="E45" s="8" t="n">
        <v>1.2083</v>
      </c>
      <c r="F45" s="8" t="n">
        <v>66.79000000000001</v>
      </c>
    </row>
    <row r="46">
      <c r="A46" s="9" t="n">
        <v>36</v>
      </c>
      <c r="B46" s="9" t="inlineStr">
        <is>
          <t>万盛经开区</t>
        </is>
      </c>
      <c r="C46" s="9" t="n">
        <v>37</v>
      </c>
      <c r="D46" s="9" t="n">
        <v>31</v>
      </c>
      <c r="E46" s="9" t="n">
        <v>1.1935</v>
      </c>
      <c r="F46" s="9" t="n">
        <v>66.3</v>
      </c>
    </row>
    <row r="47">
      <c r="A47" s="8" t="n">
        <v>37</v>
      </c>
      <c r="B47" s="8" t="inlineStr">
        <is>
          <t>大渡口区</t>
        </is>
      </c>
      <c r="C47" s="8" t="n">
        <v>57</v>
      </c>
      <c r="D47" s="8" t="n">
        <v>49</v>
      </c>
      <c r="E47" s="8" t="n">
        <v>1.1633</v>
      </c>
      <c r="F47" s="8" t="n">
        <v>65.31</v>
      </c>
    </row>
    <row r="48">
      <c r="A48" s="9" t="n">
        <v>38</v>
      </c>
      <c r="B48" s="9" t="inlineStr">
        <is>
          <t>綦江区</t>
        </is>
      </c>
      <c r="C48" s="9" t="n">
        <v>50</v>
      </c>
      <c r="D48" s="9" t="n">
        <v>43</v>
      </c>
      <c r="E48" s="9" t="n">
        <v>1.1628</v>
      </c>
      <c r="F48" s="9" t="n">
        <v>65.29000000000001</v>
      </c>
    </row>
    <row r="49">
      <c r="A49" s="8" t="n">
        <v>39</v>
      </c>
      <c r="B49" s="8" t="inlineStr">
        <is>
          <t>沙坪坝区</t>
        </is>
      </c>
      <c r="C49" s="8" t="n">
        <v>45</v>
      </c>
      <c r="D49" s="8" t="n">
        <v>39</v>
      </c>
      <c r="E49" s="8" t="n">
        <v>1.1538</v>
      </c>
      <c r="F49" s="8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8" customWidth="1" min="20" max="20"/>
  </cols>
  <sheetData>
    <row r="1">
      <c r="A1" s="5" t="inlineStr">
        <is>
          <t>衡量指标</t>
        </is>
      </c>
      <c r="B1" s="6" t="inlineStr">
        <is>
          <t>行业媒体-报道数量</t>
        </is>
      </c>
    </row>
    <row r="2">
      <c r="A2" s="5" t="inlineStr">
        <is>
          <t>一级权重</t>
        </is>
      </c>
      <c r="B2" s="6" t="inlineStr">
        <is>
          <t>25%</t>
        </is>
      </c>
    </row>
    <row r="3">
      <c r="A3" s="5" t="inlineStr">
        <is>
          <t>二级权重</t>
        </is>
      </c>
      <c r="B3" s="6" t="inlineStr">
        <is>
          <t>40%</t>
        </is>
      </c>
    </row>
    <row r="4">
      <c r="A4" s="5" t="inlineStr">
        <is>
          <t>数据源</t>
        </is>
      </c>
      <c r="B4" s="6" t="inlineStr">
        <is>
          <t>已严格收敛: 中环报 + 美丽重庆 2 家</t>
        </is>
      </c>
    </row>
    <row r="5">
      <c r="A5" s="5" t="inlineStr">
        <is>
          <t>过滤条件</t>
        </is>
      </c>
      <c r="B5" s="6" t="inlineStr">
        <is>
          <t>organization_id ; published_at ∈ [2025-01-01, 2026-01-01) ; 有 outlet_id</t>
        </is>
      </c>
    </row>
    <row r="6">
      <c r="A6" s="5" t="inlineStr">
        <is>
          <t>原始值</t>
        </is>
      </c>
      <c r="B6" s="6" t="inlineStr">
        <is>
          <t>COUNT(DISTINCT collected_item_id) per (区县, tier) ; 按 16 主题分桶各显示命中数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按报道总数降序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</t>
        </is>
      </c>
      <c r="D10" s="7" t="inlineStr">
        <is>
          <t>制度建设</t>
        </is>
      </c>
      <c r="E10" s="7" t="inlineStr">
        <is>
          <t>双碳</t>
        </is>
      </c>
      <c r="F10" s="7" t="inlineStr">
        <is>
          <t>和谐共生</t>
        </is>
      </c>
      <c r="G10" s="7" t="inlineStr">
        <is>
          <t>国家公园</t>
        </is>
      </c>
      <c r="H10" s="7" t="inlineStr">
        <is>
          <t>污染防治攻坚战</t>
        </is>
      </c>
      <c r="I10" s="7" t="inlineStr">
        <is>
          <t>清洁能源</t>
        </is>
      </c>
      <c r="J10" s="7" t="inlineStr">
        <is>
          <t>环保督察</t>
        </is>
      </c>
      <c r="K10" s="7" t="inlineStr">
        <is>
          <t>生态红线</t>
        </is>
      </c>
      <c r="L10" s="7" t="inlineStr">
        <is>
          <t>生物多样性</t>
        </is>
      </c>
      <c r="M10" s="7" t="inlineStr">
        <is>
          <t>综合治理</t>
        </is>
      </c>
      <c r="N10" s="7" t="inlineStr">
        <is>
          <t>绿水青山</t>
        </is>
      </c>
      <c r="O10" s="7" t="inlineStr">
        <is>
          <t>绿色发展</t>
        </is>
      </c>
      <c r="P10" s="7" t="inlineStr">
        <is>
          <t>美丽中国</t>
        </is>
      </c>
      <c r="Q10" s="7" t="inlineStr">
        <is>
          <t>资源节约</t>
        </is>
      </c>
      <c r="R10" s="7" t="inlineStr">
        <is>
          <t>长江生态</t>
        </is>
      </c>
      <c r="S10" s="7" t="inlineStr">
        <is>
          <t>报道总数 (原始)</t>
        </is>
      </c>
      <c r="T10" s="7" t="inlineStr">
        <is>
          <t>数量得分 (65-95)</t>
        </is>
      </c>
    </row>
    <row r="11">
      <c r="A11" s="8" t="n">
        <v>1</v>
      </c>
      <c r="B11" s="8" t="inlineStr">
        <is>
          <t>两江新区</t>
        </is>
      </c>
      <c r="C11" s="8" t="n">
        <v>9</v>
      </c>
      <c r="D11" s="8" t="n">
        <v>9</v>
      </c>
      <c r="E11" s="8" t="n">
        <v>10</v>
      </c>
      <c r="F11" s="8" t="n">
        <v>7</v>
      </c>
      <c r="G11" s="8" t="n">
        <v>1</v>
      </c>
      <c r="H11" s="8" t="n">
        <v>8</v>
      </c>
      <c r="I11" s="8" t="n">
        <v>10</v>
      </c>
      <c r="J11" s="8" t="n">
        <v>1</v>
      </c>
      <c r="K11" s="8" t="n">
        <v>2</v>
      </c>
      <c r="L11" s="8" t="n">
        <v>9</v>
      </c>
      <c r="M11" s="8" t="n">
        <v>23</v>
      </c>
      <c r="N11" s="8" t="n">
        <v>17</v>
      </c>
      <c r="O11" s="8" t="n">
        <v>27</v>
      </c>
      <c r="P11" s="8" t="n">
        <v>15</v>
      </c>
      <c r="Q11" s="8" t="n">
        <v>2</v>
      </c>
      <c r="R11" s="8" t="n">
        <v>11</v>
      </c>
      <c r="S11" s="8" t="n">
        <v>59</v>
      </c>
      <c r="T11" s="8" t="n">
        <v>95</v>
      </c>
    </row>
    <row r="12">
      <c r="A12" s="9" t="n">
        <v>2</v>
      </c>
      <c r="B12" s="9" t="inlineStr">
        <is>
          <t>北碚区</t>
        </is>
      </c>
      <c r="C12" s="9" t="n">
        <v>5</v>
      </c>
      <c r="D12" s="9" t="n">
        <v>12</v>
      </c>
      <c r="E12" s="9" t="n">
        <v>5</v>
      </c>
      <c r="F12" s="9" t="n">
        <v>4</v>
      </c>
      <c r="G12" s="9" t="n">
        <v>5</v>
      </c>
      <c r="H12" s="9" t="n">
        <v>12</v>
      </c>
      <c r="I12" s="9" t="n">
        <v>12</v>
      </c>
      <c r="J12" s="9" t="n">
        <v>6</v>
      </c>
      <c r="K12" s="9" t="n">
        <v>5</v>
      </c>
      <c r="L12" s="9" t="n">
        <v>6</v>
      </c>
      <c r="M12" s="9" t="n">
        <v>26</v>
      </c>
      <c r="N12" s="9" t="n">
        <v>19</v>
      </c>
      <c r="O12" s="9" t="n">
        <v>21</v>
      </c>
      <c r="P12" s="9" t="n">
        <v>14</v>
      </c>
      <c r="Q12" s="9" t="n">
        <v>3</v>
      </c>
      <c r="R12" s="9" t="n">
        <v>4</v>
      </c>
      <c r="S12" s="9" t="n">
        <v>45</v>
      </c>
      <c r="T12" s="9" t="n">
        <v>87.36</v>
      </c>
    </row>
    <row r="13">
      <c r="A13" s="8" t="n">
        <v>3</v>
      </c>
      <c r="B13" s="8" t="inlineStr">
        <is>
          <t>渝中区</t>
        </is>
      </c>
      <c r="C13" s="8" t="n">
        <v>11</v>
      </c>
      <c r="D13" s="8" t="n">
        <v>9</v>
      </c>
      <c r="E13" s="8" t="n">
        <v>9</v>
      </c>
      <c r="F13" s="8" t="n">
        <v>6</v>
      </c>
      <c r="G13" s="8" t="n">
        <v>0</v>
      </c>
      <c r="H13" s="8" t="n">
        <v>5</v>
      </c>
      <c r="I13" s="8" t="n">
        <v>18</v>
      </c>
      <c r="J13" s="8" t="n">
        <v>0</v>
      </c>
      <c r="K13" s="8" t="n">
        <v>2</v>
      </c>
      <c r="L13" s="8" t="n">
        <v>5</v>
      </c>
      <c r="M13" s="8" t="n">
        <v>14</v>
      </c>
      <c r="N13" s="8" t="n">
        <v>13</v>
      </c>
      <c r="O13" s="8" t="n">
        <v>26</v>
      </c>
      <c r="P13" s="8" t="n">
        <v>17</v>
      </c>
      <c r="Q13" s="8" t="n">
        <v>3</v>
      </c>
      <c r="R13" s="8" t="n">
        <v>11</v>
      </c>
      <c r="S13" s="8" t="n">
        <v>43</v>
      </c>
      <c r="T13" s="8" t="n">
        <v>86.27</v>
      </c>
    </row>
    <row r="14">
      <c r="A14" s="9" t="n">
        <v>4</v>
      </c>
      <c r="B14" s="9" t="inlineStr">
        <is>
          <t>南岸区</t>
        </is>
      </c>
      <c r="C14" s="9" t="n">
        <v>3</v>
      </c>
      <c r="D14" s="9" t="n">
        <v>10</v>
      </c>
      <c r="E14" s="9" t="n">
        <v>2</v>
      </c>
      <c r="F14" s="9" t="n">
        <v>9</v>
      </c>
      <c r="G14" s="9" t="n">
        <v>2</v>
      </c>
      <c r="H14" s="9" t="n">
        <v>7</v>
      </c>
      <c r="I14" s="9" t="n">
        <v>4</v>
      </c>
      <c r="J14" s="9" t="n">
        <v>1</v>
      </c>
      <c r="K14" s="9" t="n">
        <v>1</v>
      </c>
      <c r="L14" s="9" t="n">
        <v>7</v>
      </c>
      <c r="M14" s="9" t="n">
        <v>14</v>
      </c>
      <c r="N14" s="9" t="n">
        <v>13</v>
      </c>
      <c r="O14" s="9" t="n">
        <v>12</v>
      </c>
      <c r="P14" s="9" t="n">
        <v>16</v>
      </c>
      <c r="Q14" s="9" t="n">
        <v>1</v>
      </c>
      <c r="R14" s="9" t="n">
        <v>4</v>
      </c>
      <c r="S14" s="9" t="n">
        <v>38</v>
      </c>
      <c r="T14" s="9" t="n">
        <v>83.55</v>
      </c>
    </row>
    <row r="15">
      <c r="A15" s="8" t="n">
        <v>5</v>
      </c>
      <c r="B15" s="8" t="inlineStr">
        <is>
          <t>万州区</t>
        </is>
      </c>
      <c r="C15" s="8" t="n">
        <v>5</v>
      </c>
      <c r="D15" s="8" t="n">
        <v>5</v>
      </c>
      <c r="E15" s="8" t="n">
        <v>1</v>
      </c>
      <c r="F15" s="8" t="n">
        <v>4</v>
      </c>
      <c r="G15" s="8" t="n">
        <v>2</v>
      </c>
      <c r="H15" s="8" t="n">
        <v>6</v>
      </c>
      <c r="I15" s="8" t="n">
        <v>9</v>
      </c>
      <c r="J15" s="8" t="n">
        <v>2</v>
      </c>
      <c r="K15" s="8" t="n">
        <v>2</v>
      </c>
      <c r="L15" s="8" t="n">
        <v>6</v>
      </c>
      <c r="M15" s="8" t="n">
        <v>18</v>
      </c>
      <c r="N15" s="8" t="n">
        <v>11</v>
      </c>
      <c r="O15" s="8" t="n">
        <v>17</v>
      </c>
      <c r="P15" s="8" t="n">
        <v>10</v>
      </c>
      <c r="Q15" s="8" t="n">
        <v>1</v>
      </c>
      <c r="R15" s="8" t="n">
        <v>13</v>
      </c>
      <c r="S15" s="8" t="n">
        <v>37</v>
      </c>
      <c r="T15" s="8" t="n">
        <v>83</v>
      </c>
    </row>
    <row r="16">
      <c r="A16" s="9" t="n">
        <v>6</v>
      </c>
      <c r="B16" s="9" t="inlineStr">
        <is>
          <t>涪陵区</t>
        </is>
      </c>
      <c r="C16" s="9" t="n">
        <v>3</v>
      </c>
      <c r="D16" s="9" t="n">
        <v>6</v>
      </c>
      <c r="E16" s="9" t="n">
        <v>1</v>
      </c>
      <c r="F16" s="9" t="n">
        <v>3</v>
      </c>
      <c r="G16" s="9" t="n">
        <v>1</v>
      </c>
      <c r="H16" s="9" t="n">
        <v>4</v>
      </c>
      <c r="I16" s="9" t="n">
        <v>8</v>
      </c>
      <c r="J16" s="9" t="n">
        <v>2</v>
      </c>
      <c r="K16" s="9" t="n">
        <v>0</v>
      </c>
      <c r="L16" s="9" t="n">
        <v>4</v>
      </c>
      <c r="M16" s="9" t="n">
        <v>7</v>
      </c>
      <c r="N16" s="9" t="n">
        <v>8</v>
      </c>
      <c r="O16" s="9" t="n">
        <v>12</v>
      </c>
      <c r="P16" s="9" t="n">
        <v>8</v>
      </c>
      <c r="Q16" s="9" t="n">
        <v>1</v>
      </c>
      <c r="R16" s="9" t="n">
        <v>9</v>
      </c>
      <c r="S16" s="9" t="n">
        <v>29</v>
      </c>
      <c r="T16" s="9" t="n">
        <v>78.64</v>
      </c>
    </row>
    <row r="17">
      <c r="A17" s="8" t="n">
        <v>7</v>
      </c>
      <c r="B17" s="8" t="inlineStr">
        <is>
          <t>开州区</t>
        </is>
      </c>
      <c r="C17" s="8" t="n">
        <v>1</v>
      </c>
      <c r="D17" s="8" t="n">
        <v>9</v>
      </c>
      <c r="E17" s="8" t="n">
        <v>2</v>
      </c>
      <c r="F17" s="8" t="n">
        <v>4</v>
      </c>
      <c r="G17" s="8" t="n">
        <v>5</v>
      </c>
      <c r="H17" s="8" t="n">
        <v>8</v>
      </c>
      <c r="I17" s="8" t="n">
        <v>2</v>
      </c>
      <c r="J17" s="8" t="n">
        <v>3</v>
      </c>
      <c r="K17" s="8" t="n">
        <v>4</v>
      </c>
      <c r="L17" s="8" t="n">
        <v>8</v>
      </c>
      <c r="M17" s="8" t="n">
        <v>16</v>
      </c>
      <c r="N17" s="8" t="n">
        <v>9</v>
      </c>
      <c r="O17" s="8" t="n">
        <v>10</v>
      </c>
      <c r="P17" s="8" t="n">
        <v>8</v>
      </c>
      <c r="Q17" s="8" t="n">
        <v>1</v>
      </c>
      <c r="R17" s="8" t="n">
        <v>11</v>
      </c>
      <c r="S17" s="8" t="n">
        <v>29</v>
      </c>
      <c r="T17" s="8" t="n">
        <v>78.64</v>
      </c>
    </row>
    <row r="18">
      <c r="A18" s="9" t="n">
        <v>8</v>
      </c>
      <c r="B18" s="9" t="inlineStr">
        <is>
          <t>铜梁区</t>
        </is>
      </c>
      <c r="C18" s="9" t="n">
        <v>3</v>
      </c>
      <c r="D18" s="9" t="n">
        <v>6</v>
      </c>
      <c r="E18" s="9" t="n">
        <v>3</v>
      </c>
      <c r="F18" s="9" t="n">
        <v>6</v>
      </c>
      <c r="G18" s="9" t="n">
        <v>0</v>
      </c>
      <c r="H18" s="9" t="n">
        <v>4</v>
      </c>
      <c r="I18" s="9" t="n">
        <v>6</v>
      </c>
      <c r="J18" s="9" t="n">
        <v>0</v>
      </c>
      <c r="K18" s="9" t="n">
        <v>3</v>
      </c>
      <c r="L18" s="9" t="n">
        <v>1</v>
      </c>
      <c r="M18" s="9" t="n">
        <v>13</v>
      </c>
      <c r="N18" s="9" t="n">
        <v>7</v>
      </c>
      <c r="O18" s="9" t="n">
        <v>16</v>
      </c>
      <c r="P18" s="9" t="n">
        <v>10</v>
      </c>
      <c r="Q18" s="9" t="n">
        <v>1</v>
      </c>
      <c r="R18" s="9" t="n">
        <v>3</v>
      </c>
      <c r="S18" s="9" t="n">
        <v>29</v>
      </c>
      <c r="T18" s="9" t="n">
        <v>78.64</v>
      </c>
    </row>
    <row r="19">
      <c r="A19" s="8" t="n">
        <v>9</v>
      </c>
      <c r="B19" s="8" t="inlineStr">
        <is>
          <t>永川区</t>
        </is>
      </c>
      <c r="C19" s="8" t="n">
        <v>1</v>
      </c>
      <c r="D19" s="8" t="n">
        <v>6</v>
      </c>
      <c r="E19" s="8" t="n">
        <v>3</v>
      </c>
      <c r="F19" s="8" t="n">
        <v>2</v>
      </c>
      <c r="G19" s="8" t="n">
        <v>1</v>
      </c>
      <c r="H19" s="8" t="n">
        <v>4</v>
      </c>
      <c r="I19" s="8" t="n">
        <v>7</v>
      </c>
      <c r="J19" s="8" t="n">
        <v>0</v>
      </c>
      <c r="K19" s="8" t="n">
        <v>0</v>
      </c>
      <c r="L19" s="8" t="n">
        <v>2</v>
      </c>
      <c r="M19" s="8" t="n">
        <v>11</v>
      </c>
      <c r="N19" s="8" t="n">
        <v>5</v>
      </c>
      <c r="O19" s="8" t="n">
        <v>14</v>
      </c>
      <c r="P19" s="8" t="n">
        <v>7</v>
      </c>
      <c r="Q19" s="8" t="n">
        <v>1</v>
      </c>
      <c r="R19" s="8" t="n">
        <v>6</v>
      </c>
      <c r="S19" s="8" t="n">
        <v>26</v>
      </c>
      <c r="T19" s="8" t="n">
        <v>77</v>
      </c>
    </row>
    <row r="20">
      <c r="A20" s="9" t="n">
        <v>10</v>
      </c>
      <c r="B20" s="9" t="inlineStr">
        <is>
          <t>奉节县</t>
        </is>
      </c>
      <c r="C20" s="9" t="n">
        <v>1</v>
      </c>
      <c r="D20" s="9" t="n">
        <v>5</v>
      </c>
      <c r="E20" s="9" t="n">
        <v>0</v>
      </c>
      <c r="F20" s="9" t="n">
        <v>1</v>
      </c>
      <c r="G20" s="9" t="n">
        <v>1</v>
      </c>
      <c r="H20" s="9" t="n">
        <v>8</v>
      </c>
      <c r="I20" s="9" t="n">
        <v>10</v>
      </c>
      <c r="J20" s="9" t="n">
        <v>0</v>
      </c>
      <c r="K20" s="9" t="n">
        <v>0</v>
      </c>
      <c r="L20" s="9" t="n">
        <v>0</v>
      </c>
      <c r="M20" s="9" t="n">
        <v>12</v>
      </c>
      <c r="N20" s="9" t="n">
        <v>10</v>
      </c>
      <c r="O20" s="9" t="n">
        <v>11</v>
      </c>
      <c r="P20" s="9" t="n">
        <v>4</v>
      </c>
      <c r="Q20" s="9" t="n">
        <v>1</v>
      </c>
      <c r="R20" s="9" t="n">
        <v>8</v>
      </c>
      <c r="S20" s="9" t="n">
        <v>26</v>
      </c>
      <c r="T20" s="9" t="n">
        <v>77</v>
      </c>
    </row>
    <row r="21">
      <c r="A21" s="8" t="n">
        <v>11</v>
      </c>
      <c r="B21" s="8" t="inlineStr">
        <is>
          <t>长寿区</t>
        </is>
      </c>
      <c r="C21" s="8" t="n">
        <v>0</v>
      </c>
      <c r="D21" s="8" t="n">
        <v>8</v>
      </c>
      <c r="E21" s="8" t="n">
        <v>3</v>
      </c>
      <c r="F21" s="8" t="n">
        <v>4</v>
      </c>
      <c r="G21" s="8" t="n">
        <v>2</v>
      </c>
      <c r="H21" s="8" t="n">
        <v>4</v>
      </c>
      <c r="I21" s="8" t="n">
        <v>5</v>
      </c>
      <c r="J21" s="8" t="n">
        <v>2</v>
      </c>
      <c r="K21" s="8" t="n">
        <v>2</v>
      </c>
      <c r="L21" s="8" t="n">
        <v>3</v>
      </c>
      <c r="M21" s="8" t="n">
        <v>13</v>
      </c>
      <c r="N21" s="8" t="n">
        <v>6</v>
      </c>
      <c r="O21" s="8" t="n">
        <v>11</v>
      </c>
      <c r="P21" s="8" t="n">
        <v>9</v>
      </c>
      <c r="Q21" s="8" t="n">
        <v>1</v>
      </c>
      <c r="R21" s="8" t="n">
        <v>7</v>
      </c>
      <c r="S21" s="8" t="n">
        <v>25</v>
      </c>
      <c r="T21" s="8" t="n">
        <v>76.45</v>
      </c>
    </row>
    <row r="22">
      <c r="A22" s="9" t="n">
        <v>12</v>
      </c>
      <c r="B22" s="9" t="inlineStr">
        <is>
          <t>梁平区</t>
        </is>
      </c>
      <c r="C22" s="9" t="n">
        <v>1</v>
      </c>
      <c r="D22" s="9" t="n">
        <v>5</v>
      </c>
      <c r="E22" s="9" t="n">
        <v>2</v>
      </c>
      <c r="F22" s="9" t="n">
        <v>5</v>
      </c>
      <c r="G22" s="9" t="n">
        <v>0</v>
      </c>
      <c r="H22" s="9" t="n">
        <v>3</v>
      </c>
      <c r="I22" s="9" t="n">
        <v>9</v>
      </c>
      <c r="J22" s="9" t="n">
        <v>0</v>
      </c>
      <c r="K22" s="9" t="n">
        <v>3</v>
      </c>
      <c r="L22" s="9" t="n">
        <v>5</v>
      </c>
      <c r="M22" s="9" t="n">
        <v>19</v>
      </c>
      <c r="N22" s="9" t="n">
        <v>11</v>
      </c>
      <c r="O22" s="9" t="n">
        <v>11</v>
      </c>
      <c r="P22" s="9" t="n">
        <v>6</v>
      </c>
      <c r="Q22" s="9" t="n">
        <v>1</v>
      </c>
      <c r="R22" s="9" t="n">
        <v>8</v>
      </c>
      <c r="S22" s="9" t="n">
        <v>25</v>
      </c>
      <c r="T22" s="9" t="n">
        <v>76.45</v>
      </c>
    </row>
    <row r="23">
      <c r="A23" s="8" t="n">
        <v>13</v>
      </c>
      <c r="B23" s="8" t="inlineStr">
        <is>
          <t>巴南区</t>
        </is>
      </c>
      <c r="C23" s="8" t="n">
        <v>5</v>
      </c>
      <c r="D23" s="8" t="n">
        <v>7</v>
      </c>
      <c r="E23" s="8" t="n">
        <v>4</v>
      </c>
      <c r="F23" s="8" t="n">
        <v>4</v>
      </c>
      <c r="G23" s="8" t="n">
        <v>2</v>
      </c>
      <c r="H23" s="8" t="n">
        <v>4</v>
      </c>
      <c r="I23" s="8" t="n">
        <v>9</v>
      </c>
      <c r="J23" s="8" t="n">
        <v>0</v>
      </c>
      <c r="K23" s="8" t="n">
        <v>2</v>
      </c>
      <c r="L23" s="8" t="n">
        <v>4</v>
      </c>
      <c r="M23" s="8" t="n">
        <v>11</v>
      </c>
      <c r="N23" s="8" t="n">
        <v>7</v>
      </c>
      <c r="O23" s="8" t="n">
        <v>10</v>
      </c>
      <c r="P23" s="8" t="n">
        <v>6</v>
      </c>
      <c r="Q23" s="8" t="n">
        <v>2</v>
      </c>
      <c r="R23" s="8" t="n">
        <v>5</v>
      </c>
      <c r="S23" s="8" t="n">
        <v>24</v>
      </c>
      <c r="T23" s="8" t="n">
        <v>75.91</v>
      </c>
    </row>
    <row r="24">
      <c r="A24" s="9" t="n">
        <v>14</v>
      </c>
      <c r="B24" s="9" t="inlineStr">
        <is>
          <t>武隆区</t>
        </is>
      </c>
      <c r="C24" s="9" t="n">
        <v>0</v>
      </c>
      <c r="D24" s="9" t="n">
        <v>9</v>
      </c>
      <c r="E24" s="9" t="n">
        <v>0</v>
      </c>
      <c r="F24" s="9" t="n">
        <v>1</v>
      </c>
      <c r="G24" s="9" t="n">
        <v>2</v>
      </c>
      <c r="H24" s="9" t="n">
        <v>9</v>
      </c>
      <c r="I24" s="9" t="n">
        <v>0</v>
      </c>
      <c r="J24" s="9" t="n">
        <v>2</v>
      </c>
      <c r="K24" s="9" t="n">
        <v>3</v>
      </c>
      <c r="L24" s="9" t="n">
        <v>3</v>
      </c>
      <c r="M24" s="9" t="n">
        <v>15</v>
      </c>
      <c r="N24" s="9" t="n">
        <v>7</v>
      </c>
      <c r="O24" s="9" t="n">
        <v>6</v>
      </c>
      <c r="P24" s="9" t="n">
        <v>7</v>
      </c>
      <c r="Q24" s="9" t="n">
        <v>0</v>
      </c>
      <c r="R24" s="9" t="n">
        <v>2</v>
      </c>
      <c r="S24" s="9" t="n">
        <v>24</v>
      </c>
      <c r="T24" s="9" t="n">
        <v>75.91</v>
      </c>
    </row>
    <row r="25">
      <c r="A25" s="8" t="n">
        <v>15</v>
      </c>
      <c r="B25" s="8" t="inlineStr">
        <is>
          <t>沙坪坝区</t>
        </is>
      </c>
      <c r="C25" s="8" t="n">
        <v>5</v>
      </c>
      <c r="D25" s="8" t="n">
        <v>4</v>
      </c>
      <c r="E25" s="8" t="n">
        <v>5</v>
      </c>
      <c r="F25" s="8" t="n">
        <v>2</v>
      </c>
      <c r="G25" s="8" t="n">
        <v>0</v>
      </c>
      <c r="H25" s="8" t="n">
        <v>1</v>
      </c>
      <c r="I25" s="8" t="n">
        <v>6</v>
      </c>
      <c r="J25" s="8" t="n">
        <v>0</v>
      </c>
      <c r="K25" s="8" t="n">
        <v>0</v>
      </c>
      <c r="L25" s="8" t="n">
        <v>6</v>
      </c>
      <c r="M25" s="8" t="n">
        <v>10</v>
      </c>
      <c r="N25" s="8" t="n">
        <v>6</v>
      </c>
      <c r="O25" s="8" t="n">
        <v>17</v>
      </c>
      <c r="P25" s="8" t="n">
        <v>10</v>
      </c>
      <c r="Q25" s="8" t="n">
        <v>1</v>
      </c>
      <c r="R25" s="8" t="n">
        <v>8</v>
      </c>
      <c r="S25" s="8" t="n">
        <v>24</v>
      </c>
      <c r="T25" s="8" t="n">
        <v>75.91</v>
      </c>
    </row>
    <row r="26">
      <c r="A26" s="9" t="n">
        <v>16</v>
      </c>
      <c r="B26" s="9" t="inlineStr">
        <is>
          <t>江津区</t>
        </is>
      </c>
      <c r="C26" s="9" t="n">
        <v>6</v>
      </c>
      <c r="D26" s="9" t="n">
        <v>4</v>
      </c>
      <c r="E26" s="9" t="n">
        <v>1</v>
      </c>
      <c r="F26" s="9" t="n">
        <v>2</v>
      </c>
      <c r="G26" s="9" t="n">
        <v>1</v>
      </c>
      <c r="H26" s="9" t="n">
        <v>2</v>
      </c>
      <c r="I26" s="9" t="n">
        <v>9</v>
      </c>
      <c r="J26" s="9" t="n">
        <v>0</v>
      </c>
      <c r="K26" s="9" t="n">
        <v>0</v>
      </c>
      <c r="L26" s="9" t="n">
        <v>1</v>
      </c>
      <c r="M26" s="9" t="n">
        <v>5</v>
      </c>
      <c r="N26" s="9" t="n">
        <v>5</v>
      </c>
      <c r="O26" s="9" t="n">
        <v>14</v>
      </c>
      <c r="P26" s="9" t="n">
        <v>11</v>
      </c>
      <c r="Q26" s="9" t="n">
        <v>1</v>
      </c>
      <c r="R26" s="9" t="n">
        <v>6</v>
      </c>
      <c r="S26" s="9" t="n">
        <v>21</v>
      </c>
      <c r="T26" s="9" t="n">
        <v>74.27</v>
      </c>
    </row>
    <row r="27">
      <c r="A27" s="8" t="n">
        <v>17</v>
      </c>
      <c r="B27" s="8" t="inlineStr">
        <is>
          <t>石柱县</t>
        </is>
      </c>
      <c r="C27" s="8" t="n">
        <v>0</v>
      </c>
      <c r="D27" s="8" t="n">
        <v>7</v>
      </c>
      <c r="E27" s="8" t="n">
        <v>0</v>
      </c>
      <c r="F27" s="8" t="n">
        <v>1</v>
      </c>
      <c r="G27" s="8" t="n">
        <v>0</v>
      </c>
      <c r="H27" s="8" t="n">
        <v>4</v>
      </c>
      <c r="I27" s="8" t="n">
        <v>2</v>
      </c>
      <c r="J27" s="8" t="n">
        <v>3</v>
      </c>
      <c r="K27" s="8" t="n">
        <v>0</v>
      </c>
      <c r="L27" s="8" t="n">
        <v>1</v>
      </c>
      <c r="M27" s="8" t="n">
        <v>7</v>
      </c>
      <c r="N27" s="8" t="n">
        <v>7</v>
      </c>
      <c r="O27" s="8" t="n">
        <v>7</v>
      </c>
      <c r="P27" s="8" t="n">
        <v>5</v>
      </c>
      <c r="Q27" s="8" t="n">
        <v>1</v>
      </c>
      <c r="R27" s="8" t="n">
        <v>3</v>
      </c>
      <c r="S27" s="8" t="n">
        <v>20</v>
      </c>
      <c r="T27" s="8" t="n">
        <v>73.73</v>
      </c>
    </row>
    <row r="28">
      <c r="A28" s="9" t="n">
        <v>18</v>
      </c>
      <c r="B28" s="9" t="inlineStr">
        <is>
          <t>万盛经开区</t>
        </is>
      </c>
      <c r="C28" s="9" t="n">
        <v>0</v>
      </c>
      <c r="D28" s="9" t="n">
        <v>5</v>
      </c>
      <c r="E28" s="9" t="n">
        <v>1</v>
      </c>
      <c r="F28" s="9" t="n">
        <v>1</v>
      </c>
      <c r="G28" s="9" t="n">
        <v>1</v>
      </c>
      <c r="H28" s="9" t="n">
        <v>7</v>
      </c>
      <c r="I28" s="9" t="n">
        <v>4</v>
      </c>
      <c r="J28" s="9" t="n">
        <v>6</v>
      </c>
      <c r="K28" s="9" t="n">
        <v>0</v>
      </c>
      <c r="L28" s="9" t="n">
        <v>2</v>
      </c>
      <c r="M28" s="9" t="n">
        <v>11</v>
      </c>
      <c r="N28" s="9" t="n">
        <v>4</v>
      </c>
      <c r="O28" s="9" t="n">
        <v>7</v>
      </c>
      <c r="P28" s="9" t="n">
        <v>10</v>
      </c>
      <c r="Q28" s="9" t="n">
        <v>1</v>
      </c>
      <c r="R28" s="9" t="n">
        <v>2</v>
      </c>
      <c r="S28" s="9" t="n">
        <v>19</v>
      </c>
      <c r="T28" s="9" t="n">
        <v>73.18000000000001</v>
      </c>
    </row>
    <row r="29">
      <c r="A29" s="8" t="n">
        <v>19</v>
      </c>
      <c r="B29" s="8" t="inlineStr">
        <is>
          <t>巫山县</t>
        </is>
      </c>
      <c r="C29" s="8" t="n">
        <v>1</v>
      </c>
      <c r="D29" s="8" t="n">
        <v>8</v>
      </c>
      <c r="E29" s="8" t="n">
        <v>1</v>
      </c>
      <c r="F29" s="8" t="n">
        <v>2</v>
      </c>
      <c r="G29" s="8" t="n">
        <v>3</v>
      </c>
      <c r="H29" s="8" t="n">
        <v>8</v>
      </c>
      <c r="I29" s="8" t="n">
        <v>4</v>
      </c>
      <c r="J29" s="8" t="n">
        <v>1</v>
      </c>
      <c r="K29" s="8" t="n">
        <v>5</v>
      </c>
      <c r="L29" s="8" t="n">
        <v>2</v>
      </c>
      <c r="M29" s="8" t="n">
        <v>12</v>
      </c>
      <c r="N29" s="8" t="n">
        <v>8</v>
      </c>
      <c r="O29" s="8" t="n">
        <v>9</v>
      </c>
      <c r="P29" s="8" t="n">
        <v>7</v>
      </c>
      <c r="Q29" s="8" t="n">
        <v>1</v>
      </c>
      <c r="R29" s="8" t="n">
        <v>7</v>
      </c>
      <c r="S29" s="8" t="n">
        <v>18</v>
      </c>
      <c r="T29" s="8" t="n">
        <v>72.64</v>
      </c>
    </row>
    <row r="30">
      <c r="A30" s="9" t="n">
        <v>20</v>
      </c>
      <c r="B30" s="9" t="inlineStr">
        <is>
          <t>九龙坡区</t>
        </is>
      </c>
      <c r="C30" s="9" t="n">
        <v>1</v>
      </c>
      <c r="D30" s="9" t="n">
        <v>4</v>
      </c>
      <c r="E30" s="9" t="n">
        <v>3</v>
      </c>
      <c r="F30" s="9" t="n">
        <v>2</v>
      </c>
      <c r="G30" s="9" t="n">
        <v>2</v>
      </c>
      <c r="H30" s="9" t="n">
        <v>4</v>
      </c>
      <c r="I30" s="9" t="n">
        <v>8</v>
      </c>
      <c r="J30" s="9" t="n">
        <v>0</v>
      </c>
      <c r="K30" s="9" t="n">
        <v>2</v>
      </c>
      <c r="L30" s="9" t="n">
        <v>2</v>
      </c>
      <c r="M30" s="9" t="n">
        <v>11</v>
      </c>
      <c r="N30" s="9" t="n">
        <v>6</v>
      </c>
      <c r="O30" s="9" t="n">
        <v>10</v>
      </c>
      <c r="P30" s="9" t="n">
        <v>5</v>
      </c>
      <c r="Q30" s="9" t="n">
        <v>3</v>
      </c>
      <c r="R30" s="9" t="n">
        <v>6</v>
      </c>
      <c r="S30" s="9" t="n">
        <v>18</v>
      </c>
      <c r="T30" s="9" t="n">
        <v>72.64</v>
      </c>
    </row>
    <row r="31">
      <c r="A31" s="8" t="n">
        <v>21</v>
      </c>
      <c r="B31" s="8" t="inlineStr">
        <is>
          <t>云阳县</t>
        </is>
      </c>
      <c r="C31" s="8" t="n">
        <v>2</v>
      </c>
      <c r="D31" s="8" t="n">
        <v>6</v>
      </c>
      <c r="E31" s="8" t="n">
        <v>1</v>
      </c>
      <c r="F31" s="8" t="n">
        <v>2</v>
      </c>
      <c r="G31" s="8" t="n">
        <v>2</v>
      </c>
      <c r="H31" s="8" t="n">
        <v>7</v>
      </c>
      <c r="I31" s="8" t="n">
        <v>5</v>
      </c>
      <c r="J31" s="8" t="n">
        <v>2</v>
      </c>
      <c r="K31" s="8" t="n">
        <v>2</v>
      </c>
      <c r="L31" s="8" t="n">
        <v>9</v>
      </c>
      <c r="M31" s="8" t="n">
        <v>12</v>
      </c>
      <c r="N31" s="8" t="n">
        <v>4</v>
      </c>
      <c r="O31" s="8" t="n">
        <v>8</v>
      </c>
      <c r="P31" s="8" t="n">
        <v>6</v>
      </c>
      <c r="Q31" s="8" t="n">
        <v>1</v>
      </c>
      <c r="R31" s="8" t="n">
        <v>6</v>
      </c>
      <c r="S31" s="8" t="n">
        <v>18</v>
      </c>
      <c r="T31" s="8" t="n">
        <v>72.64</v>
      </c>
    </row>
    <row r="32">
      <c r="A32" s="9" t="n">
        <v>22</v>
      </c>
      <c r="B32" s="9" t="inlineStr">
        <is>
          <t>黔江区</t>
        </is>
      </c>
      <c r="C32" s="9" t="n">
        <v>0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3</v>
      </c>
      <c r="I32" s="9" t="n">
        <v>5</v>
      </c>
      <c r="J32" s="9" t="n">
        <v>0</v>
      </c>
      <c r="K32" s="9" t="n">
        <v>3</v>
      </c>
      <c r="L32" s="9" t="n">
        <v>4</v>
      </c>
      <c r="M32" s="9" t="n">
        <v>7</v>
      </c>
      <c r="N32" s="9" t="n">
        <v>9</v>
      </c>
      <c r="O32" s="9" t="n">
        <v>7</v>
      </c>
      <c r="P32" s="9" t="n">
        <v>3</v>
      </c>
      <c r="Q32" s="9" t="n">
        <v>2</v>
      </c>
      <c r="R32" s="9" t="n">
        <v>5</v>
      </c>
      <c r="S32" s="9" t="n">
        <v>17</v>
      </c>
      <c r="T32" s="9" t="n">
        <v>72.09</v>
      </c>
    </row>
    <row r="33">
      <c r="A33" s="8" t="n">
        <v>23</v>
      </c>
      <c r="B33" s="8" t="inlineStr">
        <is>
          <t>忠县</t>
        </is>
      </c>
      <c r="C33" s="8" t="n">
        <v>0</v>
      </c>
      <c r="D33" s="8" t="n">
        <v>4</v>
      </c>
      <c r="E33" s="8" t="n">
        <v>1</v>
      </c>
      <c r="F33" s="8" t="n">
        <v>0</v>
      </c>
      <c r="G33" s="8" t="n">
        <v>0</v>
      </c>
      <c r="H33" s="8" t="n">
        <v>3</v>
      </c>
      <c r="I33" s="8" t="n">
        <v>5</v>
      </c>
      <c r="J33" s="8" t="n">
        <v>0</v>
      </c>
      <c r="K33" s="8" t="n">
        <v>4</v>
      </c>
      <c r="L33" s="8" t="n">
        <v>4</v>
      </c>
      <c r="M33" s="8" t="n">
        <v>8</v>
      </c>
      <c r="N33" s="8" t="n">
        <v>10</v>
      </c>
      <c r="O33" s="8" t="n">
        <v>9</v>
      </c>
      <c r="P33" s="8" t="n">
        <v>5</v>
      </c>
      <c r="Q33" s="8" t="n">
        <v>1</v>
      </c>
      <c r="R33" s="8" t="n">
        <v>6</v>
      </c>
      <c r="S33" s="8" t="n">
        <v>17</v>
      </c>
      <c r="T33" s="8" t="n">
        <v>72.09</v>
      </c>
    </row>
    <row r="34">
      <c r="A34" s="9" t="n">
        <v>24</v>
      </c>
      <c r="B34" s="9" t="inlineStr">
        <is>
          <t>潼南区</t>
        </is>
      </c>
      <c r="C34" s="9" t="n">
        <v>1</v>
      </c>
      <c r="D34" s="9" t="n">
        <v>6</v>
      </c>
      <c r="E34" s="9" t="n">
        <v>1</v>
      </c>
      <c r="F34" s="9" t="n">
        <v>0</v>
      </c>
      <c r="G34" s="9" t="n">
        <v>0</v>
      </c>
      <c r="H34" s="9" t="n">
        <v>7</v>
      </c>
      <c r="I34" s="9" t="n">
        <v>3</v>
      </c>
      <c r="J34" s="9" t="n">
        <v>4</v>
      </c>
      <c r="K34" s="9" t="n">
        <v>0</v>
      </c>
      <c r="L34" s="9" t="n">
        <v>1</v>
      </c>
      <c r="M34" s="9" t="n">
        <v>4</v>
      </c>
      <c r="N34" s="9" t="n">
        <v>2</v>
      </c>
      <c r="O34" s="9" t="n">
        <v>6</v>
      </c>
      <c r="P34" s="9" t="n">
        <v>6</v>
      </c>
      <c r="Q34" s="9" t="n">
        <v>1</v>
      </c>
      <c r="R34" s="9" t="n">
        <v>1</v>
      </c>
      <c r="S34" s="9" t="n">
        <v>17</v>
      </c>
      <c r="T34" s="9" t="n">
        <v>72.09</v>
      </c>
    </row>
    <row r="35">
      <c r="A35" s="8" t="n">
        <v>25</v>
      </c>
      <c r="B35" s="8" t="inlineStr">
        <is>
          <t>丰都县</t>
        </is>
      </c>
      <c r="C35" s="8" t="n">
        <v>1</v>
      </c>
      <c r="D35" s="8" t="n">
        <v>2</v>
      </c>
      <c r="E35" s="8" t="n">
        <v>0</v>
      </c>
      <c r="F35" s="8" t="n">
        <v>1</v>
      </c>
      <c r="G35" s="8" t="n">
        <v>0</v>
      </c>
      <c r="H35" s="8" t="n">
        <v>2</v>
      </c>
      <c r="I35" s="8" t="n">
        <v>6</v>
      </c>
      <c r="J35" s="8" t="n">
        <v>2</v>
      </c>
      <c r="K35" s="8" t="n">
        <v>0</v>
      </c>
      <c r="L35" s="8" t="n">
        <v>1</v>
      </c>
      <c r="M35" s="8" t="n">
        <v>7</v>
      </c>
      <c r="N35" s="8" t="n">
        <v>7</v>
      </c>
      <c r="O35" s="8" t="n">
        <v>5</v>
      </c>
      <c r="P35" s="8" t="n">
        <v>3</v>
      </c>
      <c r="Q35" s="8" t="n">
        <v>1</v>
      </c>
      <c r="R35" s="8" t="n">
        <v>3</v>
      </c>
      <c r="S35" s="8" t="n">
        <v>17</v>
      </c>
      <c r="T35" s="8" t="n">
        <v>72.09</v>
      </c>
    </row>
    <row r="36">
      <c r="A36" s="9" t="n">
        <v>26</v>
      </c>
      <c r="B36" s="9" t="inlineStr">
        <is>
          <t>合川区</t>
        </is>
      </c>
      <c r="C36" s="9" t="n">
        <v>1</v>
      </c>
      <c r="D36" s="9" t="n">
        <v>1</v>
      </c>
      <c r="E36" s="9" t="n">
        <v>2</v>
      </c>
      <c r="F36" s="9" t="n">
        <v>2</v>
      </c>
      <c r="G36" s="9" t="n">
        <v>0</v>
      </c>
      <c r="H36" s="9" t="n">
        <v>3</v>
      </c>
      <c r="I36" s="9" t="n">
        <v>5</v>
      </c>
      <c r="J36" s="9" t="n">
        <v>0</v>
      </c>
      <c r="K36" s="9" t="n">
        <v>0</v>
      </c>
      <c r="L36" s="9" t="n">
        <v>2</v>
      </c>
      <c r="M36" s="9" t="n">
        <v>6</v>
      </c>
      <c r="N36" s="9" t="n">
        <v>4</v>
      </c>
      <c r="O36" s="9" t="n">
        <v>6</v>
      </c>
      <c r="P36" s="9" t="n">
        <v>4</v>
      </c>
      <c r="Q36" s="9" t="n">
        <v>1</v>
      </c>
      <c r="R36" s="9" t="n">
        <v>1</v>
      </c>
      <c r="S36" s="9" t="n">
        <v>16</v>
      </c>
      <c r="T36" s="9" t="n">
        <v>71.55</v>
      </c>
    </row>
    <row r="37">
      <c r="A37" s="8" t="n">
        <v>27</v>
      </c>
      <c r="B37" s="8" t="inlineStr">
        <is>
          <t>荣昌区</t>
        </is>
      </c>
      <c r="C37" s="8" t="n">
        <v>1</v>
      </c>
      <c r="D37" s="8" t="n">
        <v>2</v>
      </c>
      <c r="E37" s="8" t="n">
        <v>1</v>
      </c>
      <c r="F37" s="8" t="n">
        <v>1</v>
      </c>
      <c r="G37" s="8" t="n">
        <v>0</v>
      </c>
      <c r="H37" s="8" t="n">
        <v>3</v>
      </c>
      <c r="I37" s="8" t="n">
        <v>1</v>
      </c>
      <c r="J37" s="8" t="n">
        <v>0</v>
      </c>
      <c r="K37" s="8" t="n">
        <v>0</v>
      </c>
      <c r="L37" s="8" t="n">
        <v>0</v>
      </c>
      <c r="M37" s="8" t="n">
        <v>10</v>
      </c>
      <c r="N37" s="8" t="n">
        <v>6</v>
      </c>
      <c r="O37" s="8" t="n">
        <v>7</v>
      </c>
      <c r="P37" s="8" t="n">
        <v>3</v>
      </c>
      <c r="Q37" s="8" t="n">
        <v>0</v>
      </c>
      <c r="R37" s="8" t="n">
        <v>1</v>
      </c>
      <c r="S37" s="8" t="n">
        <v>16</v>
      </c>
      <c r="T37" s="8" t="n">
        <v>71.55</v>
      </c>
    </row>
    <row r="38">
      <c r="A38" s="9" t="n">
        <v>28</v>
      </c>
      <c r="B38" s="9" t="inlineStr">
        <is>
          <t>南川区</t>
        </is>
      </c>
      <c r="C38" s="9" t="n">
        <v>2</v>
      </c>
      <c r="D38" s="9" t="n">
        <v>5</v>
      </c>
      <c r="E38" s="9" t="n">
        <v>0</v>
      </c>
      <c r="F38" s="9" t="n">
        <v>0</v>
      </c>
      <c r="G38" s="9" t="n">
        <v>2</v>
      </c>
      <c r="H38" s="9" t="n">
        <v>3</v>
      </c>
      <c r="I38" s="9" t="n">
        <v>2</v>
      </c>
      <c r="J38" s="9" t="n">
        <v>0</v>
      </c>
      <c r="K38" s="9" t="n">
        <v>1</v>
      </c>
      <c r="L38" s="9" t="n">
        <v>2</v>
      </c>
      <c r="M38" s="9" t="n">
        <v>8</v>
      </c>
      <c r="N38" s="9" t="n">
        <v>6</v>
      </c>
      <c r="O38" s="9" t="n">
        <v>7</v>
      </c>
      <c r="P38" s="9" t="n">
        <v>4</v>
      </c>
      <c r="Q38" s="9" t="n">
        <v>0</v>
      </c>
      <c r="R38" s="9" t="n">
        <v>1</v>
      </c>
      <c r="S38" s="9" t="n">
        <v>15</v>
      </c>
      <c r="T38" s="9" t="n">
        <v>71</v>
      </c>
    </row>
    <row r="39">
      <c r="A39" s="8" t="n">
        <v>29</v>
      </c>
      <c r="B39" s="8" t="inlineStr">
        <is>
          <t>城口县</t>
        </is>
      </c>
      <c r="C39" s="8" t="n">
        <v>0</v>
      </c>
      <c r="D39" s="8" t="n">
        <v>6</v>
      </c>
      <c r="E39" s="8" t="n">
        <v>1</v>
      </c>
      <c r="F39" s="8" t="n">
        <v>2</v>
      </c>
      <c r="G39" s="8" t="n">
        <v>0</v>
      </c>
      <c r="H39" s="8" t="n">
        <v>6</v>
      </c>
      <c r="I39" s="8" t="n">
        <v>1</v>
      </c>
      <c r="J39" s="8" t="n">
        <v>3</v>
      </c>
      <c r="K39" s="8" t="n">
        <v>2</v>
      </c>
      <c r="L39" s="8" t="n">
        <v>3</v>
      </c>
      <c r="M39" s="8" t="n">
        <v>5</v>
      </c>
      <c r="N39" s="8" t="n">
        <v>5</v>
      </c>
      <c r="O39" s="8" t="n">
        <v>4</v>
      </c>
      <c r="P39" s="8" t="n">
        <v>6</v>
      </c>
      <c r="Q39" s="8" t="n">
        <v>0</v>
      </c>
      <c r="R39" s="8" t="n">
        <v>4</v>
      </c>
      <c r="S39" s="8" t="n">
        <v>15</v>
      </c>
      <c r="T39" s="8" t="n">
        <v>71</v>
      </c>
    </row>
    <row r="40">
      <c r="A40" s="9" t="n">
        <v>30</v>
      </c>
      <c r="B40" s="9" t="inlineStr">
        <is>
          <t>大足区</t>
        </is>
      </c>
      <c r="C40" s="9" t="n">
        <v>0</v>
      </c>
      <c r="D40" s="9" t="n">
        <v>4</v>
      </c>
      <c r="E40" s="9" t="n">
        <v>0</v>
      </c>
      <c r="F40" s="9" t="n">
        <v>3</v>
      </c>
      <c r="G40" s="9" t="n">
        <v>0</v>
      </c>
      <c r="H40" s="9" t="n">
        <v>2</v>
      </c>
      <c r="I40" s="9" t="n">
        <v>2</v>
      </c>
      <c r="J40" s="9" t="n">
        <v>0</v>
      </c>
      <c r="K40" s="9" t="n">
        <v>0</v>
      </c>
      <c r="L40" s="9" t="n">
        <v>1</v>
      </c>
      <c r="M40" s="9" t="n">
        <v>6</v>
      </c>
      <c r="N40" s="9" t="n">
        <v>5</v>
      </c>
      <c r="O40" s="9" t="n">
        <v>5</v>
      </c>
      <c r="P40" s="9" t="n">
        <v>5</v>
      </c>
      <c r="Q40" s="9" t="n">
        <v>1</v>
      </c>
      <c r="R40" s="9" t="n">
        <v>2</v>
      </c>
      <c r="S40" s="9" t="n">
        <v>15</v>
      </c>
      <c r="T40" s="9" t="n">
        <v>71</v>
      </c>
    </row>
    <row r="41">
      <c r="A41" s="8" t="n">
        <v>31</v>
      </c>
      <c r="B41" s="8" t="inlineStr">
        <is>
          <t>大渡口区</t>
        </is>
      </c>
      <c r="C41" s="8" t="n">
        <v>0</v>
      </c>
      <c r="D41" s="8" t="n">
        <v>2</v>
      </c>
      <c r="E41" s="8" t="n">
        <v>1</v>
      </c>
      <c r="F41" s="8" t="n">
        <v>2</v>
      </c>
      <c r="G41" s="8" t="n">
        <v>0</v>
      </c>
      <c r="H41" s="8" t="n">
        <v>4</v>
      </c>
      <c r="I41" s="8" t="n">
        <v>4</v>
      </c>
      <c r="J41" s="8" t="n">
        <v>0</v>
      </c>
      <c r="K41" s="8" t="n">
        <v>2</v>
      </c>
      <c r="L41" s="8" t="n">
        <v>1</v>
      </c>
      <c r="M41" s="8" t="n">
        <v>8</v>
      </c>
      <c r="N41" s="8" t="n">
        <v>3</v>
      </c>
      <c r="O41" s="8" t="n">
        <v>8</v>
      </c>
      <c r="P41" s="8" t="n">
        <v>3</v>
      </c>
      <c r="Q41" s="8" t="n">
        <v>2</v>
      </c>
      <c r="R41" s="8" t="n">
        <v>2</v>
      </c>
      <c r="S41" s="8" t="n">
        <v>13</v>
      </c>
      <c r="T41" s="8" t="n">
        <v>69.91</v>
      </c>
    </row>
    <row r="42">
      <c r="A42" s="9" t="n">
        <v>32</v>
      </c>
      <c r="B42" s="9" t="inlineStr">
        <is>
          <t>彭水县</t>
        </is>
      </c>
      <c r="C42" s="9" t="n">
        <v>2</v>
      </c>
      <c r="D42" s="9" t="n">
        <v>3</v>
      </c>
      <c r="E42" s="9" t="n">
        <v>2</v>
      </c>
      <c r="F42" s="9" t="n">
        <v>0</v>
      </c>
      <c r="G42" s="9" t="n">
        <v>0</v>
      </c>
      <c r="H42" s="9" t="n">
        <v>0</v>
      </c>
      <c r="I42" s="9" t="n">
        <v>9</v>
      </c>
      <c r="J42" s="9" t="n">
        <v>0</v>
      </c>
      <c r="K42" s="9" t="n">
        <v>3</v>
      </c>
      <c r="L42" s="9" t="n">
        <v>2</v>
      </c>
      <c r="M42" s="9" t="n">
        <v>7</v>
      </c>
      <c r="N42" s="9" t="n">
        <v>7</v>
      </c>
      <c r="O42" s="9" t="n">
        <v>6</v>
      </c>
      <c r="P42" s="9" t="n">
        <v>3</v>
      </c>
      <c r="Q42" s="9" t="n">
        <v>1</v>
      </c>
      <c r="R42" s="9" t="n">
        <v>1</v>
      </c>
      <c r="S42" s="9" t="n">
        <v>11</v>
      </c>
      <c r="T42" s="9" t="n">
        <v>68.81999999999999</v>
      </c>
    </row>
    <row r="43">
      <c r="A43" s="8" t="n">
        <v>33</v>
      </c>
      <c r="B43" s="8" t="inlineStr">
        <is>
          <t>綦江区</t>
        </is>
      </c>
      <c r="C43" s="8" t="n">
        <v>1</v>
      </c>
      <c r="D43" s="8" t="n">
        <v>2</v>
      </c>
      <c r="E43" s="8" t="n">
        <v>0</v>
      </c>
      <c r="F43" s="8" t="n">
        <v>0</v>
      </c>
      <c r="G43" s="8" t="n">
        <v>1</v>
      </c>
      <c r="H43" s="8" t="n">
        <v>2</v>
      </c>
      <c r="I43" s="8" t="n">
        <v>3</v>
      </c>
      <c r="J43" s="8" t="n">
        <v>0</v>
      </c>
      <c r="K43" s="8" t="n">
        <v>0</v>
      </c>
      <c r="L43" s="8" t="n">
        <v>0</v>
      </c>
      <c r="M43" s="8" t="n">
        <v>5</v>
      </c>
      <c r="N43" s="8" t="n">
        <v>3</v>
      </c>
      <c r="O43" s="8" t="n">
        <v>6</v>
      </c>
      <c r="P43" s="8" t="n">
        <v>4</v>
      </c>
      <c r="Q43" s="8" t="n">
        <v>1</v>
      </c>
      <c r="R43" s="8" t="n">
        <v>2</v>
      </c>
      <c r="S43" s="8" t="n">
        <v>11</v>
      </c>
      <c r="T43" s="8" t="n">
        <v>68.81999999999999</v>
      </c>
    </row>
    <row r="44">
      <c r="A44" s="9" t="n">
        <v>34</v>
      </c>
      <c r="B44" s="9" t="inlineStr">
        <is>
          <t>璧山区</t>
        </is>
      </c>
      <c r="C44" s="9" t="n">
        <v>1</v>
      </c>
      <c r="D44" s="9" t="n">
        <v>4</v>
      </c>
      <c r="E44" s="9" t="n">
        <v>0</v>
      </c>
      <c r="F44" s="9" t="n">
        <v>0</v>
      </c>
      <c r="G44" s="9" t="n">
        <v>1</v>
      </c>
      <c r="H44" s="9" t="n">
        <v>2</v>
      </c>
      <c r="I44" s="9" t="n">
        <v>3</v>
      </c>
      <c r="J44" s="9" t="n">
        <v>0</v>
      </c>
      <c r="K44" s="9" t="n">
        <v>1</v>
      </c>
      <c r="L44" s="9" t="n">
        <v>1</v>
      </c>
      <c r="M44" s="9" t="n">
        <v>1</v>
      </c>
      <c r="N44" s="9" t="n">
        <v>2</v>
      </c>
      <c r="O44" s="9" t="n">
        <v>3</v>
      </c>
      <c r="P44" s="9" t="n">
        <v>2</v>
      </c>
      <c r="Q44" s="9" t="n">
        <v>1</v>
      </c>
      <c r="R44" s="9" t="n">
        <v>2</v>
      </c>
      <c r="S44" s="9" t="n">
        <v>9</v>
      </c>
      <c r="T44" s="9" t="n">
        <v>67.73</v>
      </c>
    </row>
    <row r="45">
      <c r="A45" s="8" t="n">
        <v>35</v>
      </c>
      <c r="B45" s="8" t="inlineStr">
        <is>
          <t>秀山县</t>
        </is>
      </c>
      <c r="C45" s="8" t="n">
        <v>0</v>
      </c>
      <c r="D45" s="8" t="n">
        <v>0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3</v>
      </c>
      <c r="J45" s="8" t="n">
        <v>0</v>
      </c>
      <c r="K45" s="8" t="n">
        <v>0</v>
      </c>
      <c r="L45" s="8" t="n">
        <v>2</v>
      </c>
      <c r="M45" s="8" t="n">
        <v>1</v>
      </c>
      <c r="N45" s="8" t="n">
        <v>2</v>
      </c>
      <c r="O45" s="8" t="n">
        <v>2</v>
      </c>
      <c r="P45" s="8" t="n">
        <v>2</v>
      </c>
      <c r="Q45" s="8" t="n">
        <v>1</v>
      </c>
      <c r="R45" s="8" t="n">
        <v>1</v>
      </c>
      <c r="S45" s="8" t="n">
        <v>8</v>
      </c>
      <c r="T45" s="8" t="n">
        <v>67.18000000000001</v>
      </c>
    </row>
    <row r="46">
      <c r="A46" s="9" t="n">
        <v>36</v>
      </c>
      <c r="B46" s="9" t="inlineStr">
        <is>
          <t>巫溪县</t>
        </is>
      </c>
      <c r="C46" s="9" t="n">
        <v>0</v>
      </c>
      <c r="D46" s="9" t="n">
        <v>2</v>
      </c>
      <c r="E46" s="9" t="n">
        <v>0</v>
      </c>
      <c r="F46" s="9" t="n">
        <v>2</v>
      </c>
      <c r="G46" s="9" t="n">
        <v>2</v>
      </c>
      <c r="H46" s="9" t="n">
        <v>0</v>
      </c>
      <c r="I46" s="9" t="n">
        <v>2</v>
      </c>
      <c r="J46" s="9" t="n">
        <v>0</v>
      </c>
      <c r="K46" s="9" t="n">
        <v>1</v>
      </c>
      <c r="L46" s="9" t="n">
        <v>2</v>
      </c>
      <c r="M46" s="9" t="n">
        <v>1</v>
      </c>
      <c r="N46" s="9" t="n">
        <v>2</v>
      </c>
      <c r="O46" s="9" t="n">
        <v>1</v>
      </c>
      <c r="P46" s="9" t="n">
        <v>3</v>
      </c>
      <c r="Q46" s="9" t="n">
        <v>0</v>
      </c>
      <c r="R46" s="9" t="n">
        <v>1</v>
      </c>
      <c r="S46" s="9" t="n">
        <v>7</v>
      </c>
      <c r="T46" s="9" t="n">
        <v>66.64</v>
      </c>
    </row>
    <row r="47">
      <c r="A47" s="8" t="n">
        <v>37</v>
      </c>
      <c r="B47" s="8" t="inlineStr">
        <is>
          <t>酉阳县</t>
        </is>
      </c>
      <c r="C47" s="8" t="n">
        <v>0</v>
      </c>
      <c r="D47" s="8" t="n">
        <v>1</v>
      </c>
      <c r="E47" s="8" t="n">
        <v>0</v>
      </c>
      <c r="F47" s="8" t="n">
        <v>1</v>
      </c>
      <c r="G47" s="8" t="n">
        <v>0</v>
      </c>
      <c r="H47" s="8" t="n">
        <v>0</v>
      </c>
      <c r="I47" s="8" t="n">
        <v>3</v>
      </c>
      <c r="J47" s="8" t="n">
        <v>0</v>
      </c>
      <c r="K47" s="8" t="n">
        <v>0</v>
      </c>
      <c r="L47" s="8" t="n">
        <v>2</v>
      </c>
      <c r="M47" s="8" t="n">
        <v>4</v>
      </c>
      <c r="N47" s="8" t="n">
        <v>4</v>
      </c>
      <c r="O47" s="8" t="n">
        <v>1</v>
      </c>
      <c r="P47" s="8" t="n">
        <v>1</v>
      </c>
      <c r="Q47" s="8" t="n">
        <v>1</v>
      </c>
      <c r="R47" s="8" t="n">
        <v>1</v>
      </c>
      <c r="S47" s="8" t="n">
        <v>7</v>
      </c>
      <c r="T47" s="8" t="n">
        <v>66.64</v>
      </c>
    </row>
    <row r="48">
      <c r="A48" s="9" t="n">
        <v>38</v>
      </c>
      <c r="B48" s="9" t="inlineStr">
        <is>
          <t>科学城重庆高新区</t>
        </is>
      </c>
      <c r="C48" s="9" t="n">
        <v>0</v>
      </c>
      <c r="D48" s="9" t="n">
        <v>0</v>
      </c>
      <c r="E48" s="9" t="n">
        <v>0</v>
      </c>
      <c r="F48" s="9" t="n">
        <v>1</v>
      </c>
      <c r="G48" s="9" t="n">
        <v>0</v>
      </c>
      <c r="H48" s="9" t="n">
        <v>0</v>
      </c>
      <c r="I48" s="9" t="n">
        <v>1</v>
      </c>
      <c r="J48" s="9" t="n">
        <v>0</v>
      </c>
      <c r="K48" s="9" t="n">
        <v>0</v>
      </c>
      <c r="L48" s="9" t="n">
        <v>1</v>
      </c>
      <c r="M48" s="9" t="n">
        <v>5</v>
      </c>
      <c r="N48" s="9" t="n">
        <v>4</v>
      </c>
      <c r="O48" s="9" t="n">
        <v>4</v>
      </c>
      <c r="P48" s="9" t="n">
        <v>0</v>
      </c>
      <c r="Q48" s="9" t="n">
        <v>0</v>
      </c>
      <c r="R48" s="9" t="n">
        <v>1</v>
      </c>
      <c r="S48" s="9" t="n">
        <v>7</v>
      </c>
      <c r="T48" s="9" t="n">
        <v>66.64</v>
      </c>
    </row>
    <row r="49">
      <c r="A49" s="8" t="n">
        <v>39</v>
      </c>
      <c r="B49" s="8" t="inlineStr">
        <is>
          <t>垫江县</t>
        </is>
      </c>
      <c r="C49" s="8" t="n">
        <v>0</v>
      </c>
      <c r="D49" s="8" t="n">
        <v>0</v>
      </c>
      <c r="E49" s="8" t="n">
        <v>2</v>
      </c>
      <c r="F49" s="8" t="n">
        <v>0</v>
      </c>
      <c r="G49" s="8" t="n">
        <v>0</v>
      </c>
      <c r="H49" s="8" t="n">
        <v>2</v>
      </c>
      <c r="I49" s="8" t="n">
        <v>1</v>
      </c>
      <c r="J49" s="8" t="n">
        <v>0</v>
      </c>
      <c r="K49" s="8" t="n">
        <v>2</v>
      </c>
      <c r="L49" s="8" t="n">
        <v>1</v>
      </c>
      <c r="M49" s="8" t="n">
        <v>4</v>
      </c>
      <c r="N49" s="8" t="n">
        <v>1</v>
      </c>
      <c r="O49" s="8" t="n">
        <v>1</v>
      </c>
      <c r="P49" s="8" t="n">
        <v>0</v>
      </c>
      <c r="Q49" s="8" t="n">
        <v>0</v>
      </c>
      <c r="R49" s="8" t="n">
        <v>0</v>
      </c>
      <c r="S49" s="8" t="n">
        <v>4</v>
      </c>
      <c r="T49" s="8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</cols>
  <sheetData>
    <row r="1">
      <c r="A1" s="5" t="inlineStr">
        <is>
          <t>衡量指标</t>
        </is>
      </c>
      <c r="B1" s="6" t="inlineStr">
        <is>
          <t>行业媒体-主题丰富度</t>
        </is>
      </c>
    </row>
    <row r="2">
      <c r="A2" s="5" t="inlineStr">
        <is>
          <t>一级权重</t>
        </is>
      </c>
      <c r="B2" s="6" t="inlineStr">
        <is>
          <t>25%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中环报 + 美丽重庆 2 家</t>
        </is>
      </c>
    </row>
    <row r="5">
      <c r="A5" s="5" t="inlineStr">
        <is>
          <t>公式</t>
        </is>
      </c>
      <c r="B5" s="6" t="inlineStr">
        <is>
          <t>F = 1 / Σ |p_t − 1/N| ; p_t = 某主题命中数 / 该(区县,tier)总命中 ; N=16</t>
        </is>
      </c>
    </row>
    <row r="6">
      <c r="A6" s="5" t="inlineStr">
        <is>
          <t>中间列说明</t>
        </is>
      </c>
      <c r="B6" s="6" t="inlineStr">
        <is>
          <t>16 主题占比 (%) → |p_t − 1/16| 各项 → Σ → F = 1/Σ → 区间化得分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 F 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低碳经济占比%</t>
        </is>
      </c>
      <c r="D10" s="7" t="inlineStr">
        <is>
          <t>制度建设占比%</t>
        </is>
      </c>
      <c r="E10" s="7" t="inlineStr">
        <is>
          <t>双碳占比%</t>
        </is>
      </c>
      <c r="F10" s="7" t="inlineStr">
        <is>
          <t>和谐共生占比%</t>
        </is>
      </c>
      <c r="G10" s="7" t="inlineStr">
        <is>
          <t>国家公园占比%</t>
        </is>
      </c>
      <c r="H10" s="7" t="inlineStr">
        <is>
          <t>污染防治攻坚战占比%</t>
        </is>
      </c>
      <c r="I10" s="7" t="inlineStr">
        <is>
          <t>清洁能源占比%</t>
        </is>
      </c>
      <c r="J10" s="7" t="inlineStr">
        <is>
          <t>环保督察占比%</t>
        </is>
      </c>
      <c r="K10" s="7" t="inlineStr">
        <is>
          <t>生态红线占比%</t>
        </is>
      </c>
      <c r="L10" s="7" t="inlineStr">
        <is>
          <t>生物多样性占比%</t>
        </is>
      </c>
      <c r="M10" s="7" t="inlineStr">
        <is>
          <t>综合治理占比%</t>
        </is>
      </c>
      <c r="N10" s="7" t="inlineStr">
        <is>
          <t>绿水青山占比%</t>
        </is>
      </c>
      <c r="O10" s="7" t="inlineStr">
        <is>
          <t>绿色发展占比%</t>
        </is>
      </c>
      <c r="P10" s="7" t="inlineStr">
        <is>
          <t>美丽中国占比%</t>
        </is>
      </c>
      <c r="Q10" s="7" t="inlineStr">
        <is>
          <t>资源节约占比%</t>
        </is>
      </c>
      <c r="R10" s="7" t="inlineStr">
        <is>
          <t>长江生态占比%</t>
        </is>
      </c>
      <c r="S10" s="7" t="inlineStr">
        <is>
          <t>|低碳经济-1/16|</t>
        </is>
      </c>
      <c r="T10" s="7" t="inlineStr">
        <is>
          <t>|制度建设-1/16|</t>
        </is>
      </c>
      <c r="U10" s="7" t="inlineStr">
        <is>
          <t>|双碳-1/16|</t>
        </is>
      </c>
      <c r="V10" s="7" t="inlineStr">
        <is>
          <t>|和谐共生-1/16|</t>
        </is>
      </c>
      <c r="W10" s="7" t="inlineStr">
        <is>
          <t>|国家公园-1/16|</t>
        </is>
      </c>
      <c r="X10" s="7" t="inlineStr">
        <is>
          <t>|污染防治攻坚战-1/16|</t>
        </is>
      </c>
      <c r="Y10" s="7" t="inlineStr">
        <is>
          <t>|清洁能源-1/16|</t>
        </is>
      </c>
      <c r="Z10" s="7" t="inlineStr">
        <is>
          <t>|环保督察-1/16|</t>
        </is>
      </c>
      <c r="AA10" s="7" t="inlineStr">
        <is>
          <t>|生态红线-1/16|</t>
        </is>
      </c>
      <c r="AB10" s="7" t="inlineStr">
        <is>
          <t>|生物多样性-1/16|</t>
        </is>
      </c>
      <c r="AC10" s="7" t="inlineStr">
        <is>
          <t>|综合治理-1/16|</t>
        </is>
      </c>
      <c r="AD10" s="7" t="inlineStr">
        <is>
          <t>|绿水青山-1/16|</t>
        </is>
      </c>
      <c r="AE10" s="7" t="inlineStr">
        <is>
          <t>|绿色发展-1/16|</t>
        </is>
      </c>
      <c r="AF10" s="7" t="inlineStr">
        <is>
          <t>|美丽中国-1/16|</t>
        </is>
      </c>
      <c r="AG10" s="7" t="inlineStr">
        <is>
          <t>|资源节约-1/16|</t>
        </is>
      </c>
      <c r="AH10" s="7" t="inlineStr">
        <is>
          <t>|长江生态-1/16|</t>
        </is>
      </c>
      <c r="AI10" s="7" t="inlineStr">
        <is>
          <t>Σ|p-1/16|</t>
        </is>
      </c>
      <c r="AJ10" s="7" t="inlineStr">
        <is>
          <t>F = 1/Σ</t>
        </is>
      </c>
      <c r="AK10" s="7" t="inlineStr">
        <is>
          <t>丰富度得分 (65-95)</t>
        </is>
      </c>
    </row>
    <row r="11">
      <c r="A11" s="8" t="n">
        <v>1</v>
      </c>
      <c r="B11" s="8" t="inlineStr">
        <is>
          <t>巴南区</t>
        </is>
      </c>
      <c r="C11" s="8" t="n">
        <v>6.1</v>
      </c>
      <c r="D11" s="8" t="n">
        <v>8.539999999999999</v>
      </c>
      <c r="E11" s="8" t="n">
        <v>4.88</v>
      </c>
      <c r="F11" s="8" t="n">
        <v>4.88</v>
      </c>
      <c r="G11" s="8" t="n">
        <v>2.44</v>
      </c>
      <c r="H11" s="8" t="n">
        <v>4.88</v>
      </c>
      <c r="I11" s="8" t="n">
        <v>10.98</v>
      </c>
      <c r="J11" s="8" t="n">
        <v>0</v>
      </c>
      <c r="K11" s="8" t="n">
        <v>2.44</v>
      </c>
      <c r="L11" s="8" t="n">
        <v>4.88</v>
      </c>
      <c r="M11" s="8" t="n">
        <v>13.41</v>
      </c>
      <c r="N11" s="8" t="n">
        <v>8.539999999999999</v>
      </c>
      <c r="O11" s="8" t="n">
        <v>12.2</v>
      </c>
      <c r="P11" s="8" t="n">
        <v>7.32</v>
      </c>
      <c r="Q11" s="8" t="n">
        <v>2.44</v>
      </c>
      <c r="R11" s="8" t="n">
        <v>6.1</v>
      </c>
      <c r="S11" s="8" t="n">
        <v>0.0015</v>
      </c>
      <c r="T11" s="8" t="n">
        <v>0.0229</v>
      </c>
      <c r="U11" s="8" t="n">
        <v>0.0137</v>
      </c>
      <c r="V11" s="8" t="n">
        <v>0.0137</v>
      </c>
      <c r="W11" s="8" t="n">
        <v>0.0381</v>
      </c>
      <c r="X11" s="8" t="n">
        <v>0.0137</v>
      </c>
      <c r="Y11" s="8" t="n">
        <v>0.0473</v>
      </c>
      <c r="Z11" s="8" t="n">
        <v>0.0625</v>
      </c>
      <c r="AA11" s="8" t="n">
        <v>0.0381</v>
      </c>
      <c r="AB11" s="8" t="n">
        <v>0.0137</v>
      </c>
      <c r="AC11" s="8" t="n">
        <v>0.0716</v>
      </c>
      <c r="AD11" s="8" t="n">
        <v>0.0229</v>
      </c>
      <c r="AE11" s="8" t="n">
        <v>0.0595</v>
      </c>
      <c r="AF11" s="8" t="n">
        <v>0.0107</v>
      </c>
      <c r="AG11" s="8" t="n">
        <v>0.0381</v>
      </c>
      <c r="AH11" s="8" t="n">
        <v>0.0015</v>
      </c>
      <c r="AI11" s="8" t="n">
        <v>0.4695</v>
      </c>
      <c r="AJ11" s="8" t="n">
        <v>2.1299</v>
      </c>
      <c r="AK11" s="8" t="n">
        <v>95</v>
      </c>
    </row>
    <row r="12">
      <c r="A12" s="9" t="n">
        <v>2</v>
      </c>
      <c r="B12" s="9" t="inlineStr">
        <is>
          <t>两江新区</t>
        </is>
      </c>
      <c r="C12" s="9" t="n">
        <v>5.59</v>
      </c>
      <c r="D12" s="9" t="n">
        <v>5.59</v>
      </c>
      <c r="E12" s="9" t="n">
        <v>6.21</v>
      </c>
      <c r="F12" s="9" t="n">
        <v>4.35</v>
      </c>
      <c r="G12" s="9" t="n">
        <v>0.62</v>
      </c>
      <c r="H12" s="9" t="n">
        <v>4.97</v>
      </c>
      <c r="I12" s="9" t="n">
        <v>6.21</v>
      </c>
      <c r="J12" s="9" t="n">
        <v>0.62</v>
      </c>
      <c r="K12" s="9" t="n">
        <v>1.24</v>
      </c>
      <c r="L12" s="9" t="n">
        <v>5.59</v>
      </c>
      <c r="M12" s="9" t="n">
        <v>14.29</v>
      </c>
      <c r="N12" s="9" t="n">
        <v>10.56</v>
      </c>
      <c r="O12" s="9" t="n">
        <v>16.77</v>
      </c>
      <c r="P12" s="9" t="n">
        <v>9.32</v>
      </c>
      <c r="Q12" s="9" t="n">
        <v>1.24</v>
      </c>
      <c r="R12" s="9" t="n">
        <v>6.83</v>
      </c>
      <c r="S12" s="9" t="n">
        <v>0.0066</v>
      </c>
      <c r="T12" s="9" t="n">
        <v>0.0066</v>
      </c>
      <c r="U12" s="9" t="n">
        <v>0.0004</v>
      </c>
      <c r="V12" s="9" t="n">
        <v>0.019</v>
      </c>
      <c r="W12" s="9" t="n">
        <v>0.0563</v>
      </c>
      <c r="X12" s="9" t="n">
        <v>0.0128</v>
      </c>
      <c r="Y12" s="9" t="n">
        <v>0.0004</v>
      </c>
      <c r="Z12" s="9" t="n">
        <v>0.0563</v>
      </c>
      <c r="AA12" s="9" t="n">
        <v>0.0501</v>
      </c>
      <c r="AB12" s="9" t="n">
        <v>0.0066</v>
      </c>
      <c r="AC12" s="9" t="n">
        <v>0.0804</v>
      </c>
      <c r="AD12" s="9" t="n">
        <v>0.0431</v>
      </c>
      <c r="AE12" s="9" t="n">
        <v>0.1052</v>
      </c>
      <c r="AF12" s="9" t="n">
        <v>0.0307</v>
      </c>
      <c r="AG12" s="9" t="n">
        <v>0.0501</v>
      </c>
      <c r="AH12" s="9" t="n">
        <v>0.0058</v>
      </c>
      <c r="AI12" s="9" t="n">
        <v>0.5303</v>
      </c>
      <c r="AJ12" s="9" t="n">
        <v>1.8858</v>
      </c>
      <c r="AK12" s="9" t="n">
        <v>89.20999999999999</v>
      </c>
    </row>
    <row r="13">
      <c r="A13" s="8" t="n">
        <v>3</v>
      </c>
      <c r="B13" s="8" t="inlineStr">
        <is>
          <t>开州区</t>
        </is>
      </c>
      <c r="C13" s="8" t="n">
        <v>0.99</v>
      </c>
      <c r="D13" s="8" t="n">
        <v>8.91</v>
      </c>
      <c r="E13" s="8" t="n">
        <v>1.98</v>
      </c>
      <c r="F13" s="8" t="n">
        <v>3.96</v>
      </c>
      <c r="G13" s="8" t="n">
        <v>4.95</v>
      </c>
      <c r="H13" s="8" t="n">
        <v>7.92</v>
      </c>
      <c r="I13" s="8" t="n">
        <v>1.98</v>
      </c>
      <c r="J13" s="8" t="n">
        <v>2.97</v>
      </c>
      <c r="K13" s="8" t="n">
        <v>3.96</v>
      </c>
      <c r="L13" s="8" t="n">
        <v>7.92</v>
      </c>
      <c r="M13" s="8" t="n">
        <v>15.84</v>
      </c>
      <c r="N13" s="8" t="n">
        <v>8.91</v>
      </c>
      <c r="O13" s="8" t="n">
        <v>9.9</v>
      </c>
      <c r="P13" s="8" t="n">
        <v>7.92</v>
      </c>
      <c r="Q13" s="8" t="n">
        <v>0.99</v>
      </c>
      <c r="R13" s="8" t="n">
        <v>10.89</v>
      </c>
      <c r="S13" s="8" t="n">
        <v>0.0526</v>
      </c>
      <c r="T13" s="8" t="n">
        <v>0.0266</v>
      </c>
      <c r="U13" s="8" t="n">
        <v>0.0427</v>
      </c>
      <c r="V13" s="8" t="n">
        <v>0.0229</v>
      </c>
      <c r="W13" s="8" t="n">
        <v>0.013</v>
      </c>
      <c r="X13" s="8" t="n">
        <v>0.0167</v>
      </c>
      <c r="Y13" s="8" t="n">
        <v>0.0427</v>
      </c>
      <c r="Z13" s="8" t="n">
        <v>0.0328</v>
      </c>
      <c r="AA13" s="8" t="n">
        <v>0.0229</v>
      </c>
      <c r="AB13" s="8" t="n">
        <v>0.0167</v>
      </c>
      <c r="AC13" s="8" t="n">
        <v>0.0959</v>
      </c>
      <c r="AD13" s="8" t="n">
        <v>0.0266</v>
      </c>
      <c r="AE13" s="8" t="n">
        <v>0.0365</v>
      </c>
      <c r="AF13" s="8" t="n">
        <v>0.0167</v>
      </c>
      <c r="AG13" s="8" t="n">
        <v>0.0526</v>
      </c>
      <c r="AH13" s="8" t="n">
        <v>0.0464</v>
      </c>
      <c r="AI13" s="8" t="n">
        <v>0.5644</v>
      </c>
      <c r="AJ13" s="8" t="n">
        <v>1.7719</v>
      </c>
      <c r="AK13" s="8" t="n">
        <v>86.5</v>
      </c>
    </row>
    <row r="14">
      <c r="A14" s="9" t="n">
        <v>4</v>
      </c>
      <c r="B14" s="9" t="inlineStr">
        <is>
          <t>云阳县</t>
        </is>
      </c>
      <c r="C14" s="9" t="n">
        <v>2.67</v>
      </c>
      <c r="D14" s="9" t="n">
        <v>8</v>
      </c>
      <c r="E14" s="9" t="n">
        <v>1.33</v>
      </c>
      <c r="F14" s="9" t="n">
        <v>2.67</v>
      </c>
      <c r="G14" s="9" t="n">
        <v>2.67</v>
      </c>
      <c r="H14" s="9" t="n">
        <v>9.33</v>
      </c>
      <c r="I14" s="9" t="n">
        <v>6.67</v>
      </c>
      <c r="J14" s="9" t="n">
        <v>2.67</v>
      </c>
      <c r="K14" s="9" t="n">
        <v>2.67</v>
      </c>
      <c r="L14" s="9" t="n">
        <v>12</v>
      </c>
      <c r="M14" s="9" t="n">
        <v>16</v>
      </c>
      <c r="N14" s="9" t="n">
        <v>5.33</v>
      </c>
      <c r="O14" s="9" t="n">
        <v>10.67</v>
      </c>
      <c r="P14" s="9" t="n">
        <v>8</v>
      </c>
      <c r="Q14" s="9" t="n">
        <v>1.33</v>
      </c>
      <c r="R14" s="9" t="n">
        <v>8</v>
      </c>
      <c r="S14" s="9" t="n">
        <v>0.0358</v>
      </c>
      <c r="T14" s="9" t="n">
        <v>0.0175</v>
      </c>
      <c r="U14" s="9" t="n">
        <v>0.0492</v>
      </c>
      <c r="V14" s="9" t="n">
        <v>0.0358</v>
      </c>
      <c r="W14" s="9" t="n">
        <v>0.0358</v>
      </c>
      <c r="X14" s="9" t="n">
        <v>0.0308</v>
      </c>
      <c r="Y14" s="9" t="n">
        <v>0.0042</v>
      </c>
      <c r="Z14" s="9" t="n">
        <v>0.0358</v>
      </c>
      <c r="AA14" s="9" t="n">
        <v>0.0358</v>
      </c>
      <c r="AB14" s="9" t="n">
        <v>0.0575</v>
      </c>
      <c r="AC14" s="9" t="n">
        <v>0.0975</v>
      </c>
      <c r="AD14" s="9" t="n">
        <v>0.0092</v>
      </c>
      <c r="AE14" s="9" t="n">
        <v>0.0442</v>
      </c>
      <c r="AF14" s="9" t="n">
        <v>0.0175</v>
      </c>
      <c r="AG14" s="9" t="n">
        <v>0.0492</v>
      </c>
      <c r="AH14" s="9" t="n">
        <v>0.0175</v>
      </c>
      <c r="AI14" s="9" t="n">
        <v>0.5733</v>
      </c>
      <c r="AJ14" s="9" t="n">
        <v>1.7442</v>
      </c>
      <c r="AK14" s="9" t="n">
        <v>85.84</v>
      </c>
    </row>
    <row r="15">
      <c r="A15" s="8" t="n">
        <v>5</v>
      </c>
      <c r="B15" s="8" t="inlineStr">
        <is>
          <t>九龙坡区</t>
        </is>
      </c>
      <c r="C15" s="8" t="n">
        <v>1.45</v>
      </c>
      <c r="D15" s="8" t="n">
        <v>5.8</v>
      </c>
      <c r="E15" s="8" t="n">
        <v>4.35</v>
      </c>
      <c r="F15" s="8" t="n">
        <v>2.9</v>
      </c>
      <c r="G15" s="8" t="n">
        <v>2.9</v>
      </c>
      <c r="H15" s="8" t="n">
        <v>5.8</v>
      </c>
      <c r="I15" s="8" t="n">
        <v>11.59</v>
      </c>
      <c r="J15" s="8" t="n">
        <v>0</v>
      </c>
      <c r="K15" s="8" t="n">
        <v>2.9</v>
      </c>
      <c r="L15" s="8" t="n">
        <v>2.9</v>
      </c>
      <c r="M15" s="8" t="n">
        <v>15.94</v>
      </c>
      <c r="N15" s="8" t="n">
        <v>8.699999999999999</v>
      </c>
      <c r="O15" s="8" t="n">
        <v>14.49</v>
      </c>
      <c r="P15" s="8" t="n">
        <v>7.25</v>
      </c>
      <c r="Q15" s="8" t="n">
        <v>4.35</v>
      </c>
      <c r="R15" s="8" t="n">
        <v>8.699999999999999</v>
      </c>
      <c r="S15" s="8" t="n">
        <v>0.048</v>
      </c>
      <c r="T15" s="8" t="n">
        <v>0.0045</v>
      </c>
      <c r="U15" s="8" t="n">
        <v>0.019</v>
      </c>
      <c r="V15" s="8" t="n">
        <v>0.0335</v>
      </c>
      <c r="W15" s="8" t="n">
        <v>0.0335</v>
      </c>
      <c r="X15" s="8" t="n">
        <v>0.0045</v>
      </c>
      <c r="Y15" s="8" t="n">
        <v>0.0534</v>
      </c>
      <c r="Z15" s="8" t="n">
        <v>0.0625</v>
      </c>
      <c r="AA15" s="8" t="n">
        <v>0.0335</v>
      </c>
      <c r="AB15" s="8" t="n">
        <v>0.0335</v>
      </c>
      <c r="AC15" s="8" t="n">
        <v>0.0969</v>
      </c>
      <c r="AD15" s="8" t="n">
        <v>0.0245</v>
      </c>
      <c r="AE15" s="8" t="n">
        <v>0.0824</v>
      </c>
      <c r="AF15" s="8" t="n">
        <v>0.01</v>
      </c>
      <c r="AG15" s="8" t="n">
        <v>0.019</v>
      </c>
      <c r="AH15" s="8" t="n">
        <v>0.0245</v>
      </c>
      <c r="AI15" s="8" t="n">
        <v>0.5833</v>
      </c>
      <c r="AJ15" s="8" t="n">
        <v>1.7143</v>
      </c>
      <c r="AK15" s="8" t="n">
        <v>85.13</v>
      </c>
    </row>
    <row r="16">
      <c r="A16" s="9" t="n">
        <v>6</v>
      </c>
      <c r="B16" s="9" t="inlineStr">
        <is>
          <t>北碚区</t>
        </is>
      </c>
      <c r="C16" s="9" t="n">
        <v>3.14</v>
      </c>
      <c r="D16" s="9" t="n">
        <v>7.55</v>
      </c>
      <c r="E16" s="9" t="n">
        <v>3.14</v>
      </c>
      <c r="F16" s="9" t="n">
        <v>2.52</v>
      </c>
      <c r="G16" s="9" t="n">
        <v>3.14</v>
      </c>
      <c r="H16" s="9" t="n">
        <v>7.55</v>
      </c>
      <c r="I16" s="9" t="n">
        <v>7.55</v>
      </c>
      <c r="J16" s="9" t="n">
        <v>3.77</v>
      </c>
      <c r="K16" s="9" t="n">
        <v>3.14</v>
      </c>
      <c r="L16" s="9" t="n">
        <v>3.77</v>
      </c>
      <c r="M16" s="9" t="n">
        <v>16.35</v>
      </c>
      <c r="N16" s="9" t="n">
        <v>11.95</v>
      </c>
      <c r="O16" s="9" t="n">
        <v>13.21</v>
      </c>
      <c r="P16" s="9" t="n">
        <v>8.81</v>
      </c>
      <c r="Q16" s="9" t="n">
        <v>1.89</v>
      </c>
      <c r="R16" s="9" t="n">
        <v>2.52</v>
      </c>
      <c r="S16" s="9" t="n">
        <v>0.0311</v>
      </c>
      <c r="T16" s="9" t="n">
        <v>0.013</v>
      </c>
      <c r="U16" s="9" t="n">
        <v>0.0311</v>
      </c>
      <c r="V16" s="9" t="n">
        <v>0.0373</v>
      </c>
      <c r="W16" s="9" t="n">
        <v>0.0311</v>
      </c>
      <c r="X16" s="9" t="n">
        <v>0.013</v>
      </c>
      <c r="Y16" s="9" t="n">
        <v>0.013</v>
      </c>
      <c r="Z16" s="9" t="n">
        <v>0.0248</v>
      </c>
      <c r="AA16" s="9" t="n">
        <v>0.0311</v>
      </c>
      <c r="AB16" s="9" t="n">
        <v>0.0248</v>
      </c>
      <c r="AC16" s="9" t="n">
        <v>0.101</v>
      </c>
      <c r="AD16" s="9" t="n">
        <v>0.057</v>
      </c>
      <c r="AE16" s="9" t="n">
        <v>0.0696</v>
      </c>
      <c r="AF16" s="9" t="n">
        <v>0.0256</v>
      </c>
      <c r="AG16" s="9" t="n">
        <v>0.0436</v>
      </c>
      <c r="AH16" s="9" t="n">
        <v>0.0373</v>
      </c>
      <c r="AI16" s="9" t="n">
        <v>0.5841</v>
      </c>
      <c r="AJ16" s="9" t="n">
        <v>1.712</v>
      </c>
      <c r="AK16" s="9" t="n">
        <v>85.08</v>
      </c>
    </row>
    <row r="17">
      <c r="A17" s="8" t="n">
        <v>7</v>
      </c>
      <c r="B17" s="8" t="inlineStr">
        <is>
          <t>长寿区</t>
        </is>
      </c>
      <c r="C17" s="8" t="n">
        <v>0</v>
      </c>
      <c r="D17" s="8" t="n">
        <v>10</v>
      </c>
      <c r="E17" s="8" t="n">
        <v>3.75</v>
      </c>
      <c r="F17" s="8" t="n">
        <v>5</v>
      </c>
      <c r="G17" s="8" t="n">
        <v>2.5</v>
      </c>
      <c r="H17" s="8" t="n">
        <v>5</v>
      </c>
      <c r="I17" s="8" t="n">
        <v>6.25</v>
      </c>
      <c r="J17" s="8" t="n">
        <v>2.5</v>
      </c>
      <c r="K17" s="8" t="n">
        <v>2.5</v>
      </c>
      <c r="L17" s="8" t="n">
        <v>3.75</v>
      </c>
      <c r="M17" s="8" t="n">
        <v>16.25</v>
      </c>
      <c r="N17" s="8" t="n">
        <v>7.5</v>
      </c>
      <c r="O17" s="8" t="n">
        <v>13.75</v>
      </c>
      <c r="P17" s="8" t="n">
        <v>11.25</v>
      </c>
      <c r="Q17" s="8" t="n">
        <v>1.25</v>
      </c>
      <c r="R17" s="8" t="n">
        <v>8.75</v>
      </c>
      <c r="S17" s="8" t="n">
        <v>0.0625</v>
      </c>
      <c r="T17" s="8" t="n">
        <v>0.0375</v>
      </c>
      <c r="U17" s="8" t="n">
        <v>0.025</v>
      </c>
      <c r="V17" s="8" t="n">
        <v>0.0125</v>
      </c>
      <c r="W17" s="8" t="n">
        <v>0.0375</v>
      </c>
      <c r="X17" s="8" t="n">
        <v>0.0125</v>
      </c>
      <c r="Y17" s="8" t="n">
        <v>0</v>
      </c>
      <c r="Z17" s="8" t="n">
        <v>0.0375</v>
      </c>
      <c r="AA17" s="8" t="n">
        <v>0.0375</v>
      </c>
      <c r="AB17" s="8" t="n">
        <v>0.025</v>
      </c>
      <c r="AC17" s="8" t="n">
        <v>0.1</v>
      </c>
      <c r="AD17" s="8" t="n">
        <v>0.0125</v>
      </c>
      <c r="AE17" s="8" t="n">
        <v>0.075</v>
      </c>
      <c r="AF17" s="8" t="n">
        <v>0.05</v>
      </c>
      <c r="AG17" s="8" t="n">
        <v>0.05</v>
      </c>
      <c r="AH17" s="8" t="n">
        <v>0.025</v>
      </c>
      <c r="AI17" s="8" t="n">
        <v>0.6</v>
      </c>
      <c r="AJ17" s="8" t="n">
        <v>1.6667</v>
      </c>
      <c r="AK17" s="8" t="n">
        <v>84</v>
      </c>
    </row>
    <row r="18">
      <c r="A18" s="9" t="n">
        <v>8</v>
      </c>
      <c r="B18" s="9" t="inlineStr">
        <is>
          <t>渝中区</t>
        </is>
      </c>
      <c r="C18" s="9" t="n">
        <v>7.38</v>
      </c>
      <c r="D18" s="9" t="n">
        <v>6.04</v>
      </c>
      <c r="E18" s="9" t="n">
        <v>6.04</v>
      </c>
      <c r="F18" s="9" t="n">
        <v>4.03</v>
      </c>
      <c r="G18" s="9" t="n">
        <v>0</v>
      </c>
      <c r="H18" s="9" t="n">
        <v>3.36</v>
      </c>
      <c r="I18" s="9" t="n">
        <v>12.08</v>
      </c>
      <c r="J18" s="9" t="n">
        <v>0</v>
      </c>
      <c r="K18" s="9" t="n">
        <v>1.34</v>
      </c>
      <c r="L18" s="9" t="n">
        <v>3.36</v>
      </c>
      <c r="M18" s="9" t="n">
        <v>9.4</v>
      </c>
      <c r="N18" s="9" t="n">
        <v>8.720000000000001</v>
      </c>
      <c r="O18" s="9" t="n">
        <v>17.45</v>
      </c>
      <c r="P18" s="9" t="n">
        <v>11.41</v>
      </c>
      <c r="Q18" s="9" t="n">
        <v>2.01</v>
      </c>
      <c r="R18" s="9" t="n">
        <v>7.38</v>
      </c>
      <c r="S18" s="9" t="n">
        <v>0.0113</v>
      </c>
      <c r="T18" s="9" t="n">
        <v>0.0021</v>
      </c>
      <c r="U18" s="9" t="n">
        <v>0.0021</v>
      </c>
      <c r="V18" s="9" t="n">
        <v>0.0222</v>
      </c>
      <c r="W18" s="9" t="n">
        <v>0.0625</v>
      </c>
      <c r="X18" s="9" t="n">
        <v>0.0289</v>
      </c>
      <c r="Y18" s="9" t="n">
        <v>0.0583</v>
      </c>
      <c r="Z18" s="9" t="n">
        <v>0.0625</v>
      </c>
      <c r="AA18" s="9" t="n">
        <v>0.0491</v>
      </c>
      <c r="AB18" s="9" t="n">
        <v>0.0289</v>
      </c>
      <c r="AC18" s="9" t="n">
        <v>0.0315</v>
      </c>
      <c r="AD18" s="9" t="n">
        <v>0.0247</v>
      </c>
      <c r="AE18" s="9" t="n">
        <v>0.112</v>
      </c>
      <c r="AF18" s="9" t="n">
        <v>0.0516</v>
      </c>
      <c r="AG18" s="9" t="n">
        <v>0.0424</v>
      </c>
      <c r="AH18" s="9" t="n">
        <v>0.0113</v>
      </c>
      <c r="AI18" s="9" t="n">
        <v>0.6015</v>
      </c>
      <c r="AJ18" s="9" t="n">
        <v>1.6625</v>
      </c>
      <c r="AK18" s="9" t="n">
        <v>83.90000000000001</v>
      </c>
    </row>
    <row r="19">
      <c r="A19" s="8" t="n">
        <v>9</v>
      </c>
      <c r="B19" s="8" t="inlineStr">
        <is>
          <t>巫山县</t>
        </is>
      </c>
      <c r="C19" s="8" t="n">
        <v>1.27</v>
      </c>
      <c r="D19" s="8" t="n">
        <v>10.13</v>
      </c>
      <c r="E19" s="8" t="n">
        <v>1.27</v>
      </c>
      <c r="F19" s="8" t="n">
        <v>2.53</v>
      </c>
      <c r="G19" s="8" t="n">
        <v>3.8</v>
      </c>
      <c r="H19" s="8" t="n">
        <v>10.13</v>
      </c>
      <c r="I19" s="8" t="n">
        <v>5.06</v>
      </c>
      <c r="J19" s="8" t="n">
        <v>1.27</v>
      </c>
      <c r="K19" s="8" t="n">
        <v>6.33</v>
      </c>
      <c r="L19" s="8" t="n">
        <v>2.53</v>
      </c>
      <c r="M19" s="8" t="n">
        <v>15.19</v>
      </c>
      <c r="N19" s="8" t="n">
        <v>10.13</v>
      </c>
      <c r="O19" s="8" t="n">
        <v>11.39</v>
      </c>
      <c r="P19" s="8" t="n">
        <v>8.859999999999999</v>
      </c>
      <c r="Q19" s="8" t="n">
        <v>1.27</v>
      </c>
      <c r="R19" s="8" t="n">
        <v>8.859999999999999</v>
      </c>
      <c r="S19" s="8" t="n">
        <v>0.0498</v>
      </c>
      <c r="T19" s="8" t="n">
        <v>0.0388</v>
      </c>
      <c r="U19" s="8" t="n">
        <v>0.0498</v>
      </c>
      <c r="V19" s="8" t="n">
        <v>0.0372</v>
      </c>
      <c r="W19" s="8" t="n">
        <v>0.0245</v>
      </c>
      <c r="X19" s="8" t="n">
        <v>0.0388</v>
      </c>
      <c r="Y19" s="8" t="n">
        <v>0.0119</v>
      </c>
      <c r="Z19" s="8" t="n">
        <v>0.0498</v>
      </c>
      <c r="AA19" s="8" t="n">
        <v>0.0008</v>
      </c>
      <c r="AB19" s="8" t="n">
        <v>0.0372</v>
      </c>
      <c r="AC19" s="8" t="n">
        <v>0.08939999999999999</v>
      </c>
      <c r="AD19" s="8" t="n">
        <v>0.0388</v>
      </c>
      <c r="AE19" s="8" t="n">
        <v>0.0514</v>
      </c>
      <c r="AF19" s="8" t="n">
        <v>0.0261</v>
      </c>
      <c r="AG19" s="8" t="n">
        <v>0.0498</v>
      </c>
      <c r="AH19" s="8" t="n">
        <v>0.0261</v>
      </c>
      <c r="AI19" s="8" t="n">
        <v>0.6203</v>
      </c>
      <c r="AJ19" s="8" t="n">
        <v>1.6122</v>
      </c>
      <c r="AK19" s="8" t="n">
        <v>82.70999999999999</v>
      </c>
    </row>
    <row r="20">
      <c r="A20" s="9" t="n">
        <v>10</v>
      </c>
      <c r="B20" s="9" t="inlineStr">
        <is>
          <t>城口县</t>
        </is>
      </c>
      <c r="C20" s="9" t="n">
        <v>0</v>
      </c>
      <c r="D20" s="9" t="n">
        <v>12.5</v>
      </c>
      <c r="E20" s="9" t="n">
        <v>2.08</v>
      </c>
      <c r="F20" s="9" t="n">
        <v>4.17</v>
      </c>
      <c r="G20" s="9" t="n">
        <v>0</v>
      </c>
      <c r="H20" s="9" t="n">
        <v>12.5</v>
      </c>
      <c r="I20" s="9" t="n">
        <v>2.08</v>
      </c>
      <c r="J20" s="9" t="n">
        <v>6.25</v>
      </c>
      <c r="K20" s="9" t="n">
        <v>4.17</v>
      </c>
      <c r="L20" s="9" t="n">
        <v>6.25</v>
      </c>
      <c r="M20" s="9" t="n">
        <v>10.42</v>
      </c>
      <c r="N20" s="9" t="n">
        <v>10.42</v>
      </c>
      <c r="O20" s="9" t="n">
        <v>8.33</v>
      </c>
      <c r="P20" s="9" t="n">
        <v>12.5</v>
      </c>
      <c r="Q20" s="9" t="n">
        <v>0</v>
      </c>
      <c r="R20" s="9" t="n">
        <v>8.33</v>
      </c>
      <c r="S20" s="9" t="n">
        <v>0.0625</v>
      </c>
      <c r="T20" s="9" t="n">
        <v>0.0625</v>
      </c>
      <c r="U20" s="9" t="n">
        <v>0.0417</v>
      </c>
      <c r="V20" s="9" t="n">
        <v>0.0208</v>
      </c>
      <c r="W20" s="9" t="n">
        <v>0.0625</v>
      </c>
      <c r="X20" s="9" t="n">
        <v>0.0625</v>
      </c>
      <c r="Y20" s="9" t="n">
        <v>0.0417</v>
      </c>
      <c r="Z20" s="9" t="n">
        <v>0</v>
      </c>
      <c r="AA20" s="9" t="n">
        <v>0.0208</v>
      </c>
      <c r="AB20" s="9" t="n">
        <v>0</v>
      </c>
      <c r="AC20" s="9" t="n">
        <v>0.0417</v>
      </c>
      <c r="AD20" s="9" t="n">
        <v>0.0417</v>
      </c>
      <c r="AE20" s="9" t="n">
        <v>0.0208</v>
      </c>
      <c r="AF20" s="9" t="n">
        <v>0.0625</v>
      </c>
      <c r="AG20" s="9" t="n">
        <v>0.0625</v>
      </c>
      <c r="AH20" s="9" t="n">
        <v>0.0208</v>
      </c>
      <c r="AI20" s="9" t="n">
        <v>0.625</v>
      </c>
      <c r="AJ20" s="9" t="n">
        <v>1.6</v>
      </c>
      <c r="AK20" s="9" t="n">
        <v>82.42</v>
      </c>
    </row>
    <row r="21">
      <c r="A21" s="8" t="n">
        <v>11</v>
      </c>
      <c r="B21" s="8" t="inlineStr">
        <is>
          <t>璧山区</t>
        </is>
      </c>
      <c r="C21" s="8" t="n">
        <v>4.17</v>
      </c>
      <c r="D21" s="8" t="n">
        <v>16.67</v>
      </c>
      <c r="E21" s="8" t="n">
        <v>0</v>
      </c>
      <c r="F21" s="8" t="n">
        <v>0</v>
      </c>
      <c r="G21" s="8" t="n">
        <v>4.17</v>
      </c>
      <c r="H21" s="8" t="n">
        <v>8.33</v>
      </c>
      <c r="I21" s="8" t="n">
        <v>12.5</v>
      </c>
      <c r="J21" s="8" t="n">
        <v>0</v>
      </c>
      <c r="K21" s="8" t="n">
        <v>4.17</v>
      </c>
      <c r="L21" s="8" t="n">
        <v>4.17</v>
      </c>
      <c r="M21" s="8" t="n">
        <v>4.17</v>
      </c>
      <c r="N21" s="8" t="n">
        <v>8.33</v>
      </c>
      <c r="O21" s="8" t="n">
        <v>12.5</v>
      </c>
      <c r="P21" s="8" t="n">
        <v>8.33</v>
      </c>
      <c r="Q21" s="8" t="n">
        <v>4.17</v>
      </c>
      <c r="R21" s="8" t="n">
        <v>8.33</v>
      </c>
      <c r="S21" s="8" t="n">
        <v>0.0208</v>
      </c>
      <c r="T21" s="8" t="n">
        <v>0.1042</v>
      </c>
      <c r="U21" s="8" t="n">
        <v>0.0625</v>
      </c>
      <c r="V21" s="8" t="n">
        <v>0.0625</v>
      </c>
      <c r="W21" s="8" t="n">
        <v>0.0208</v>
      </c>
      <c r="X21" s="8" t="n">
        <v>0.0208</v>
      </c>
      <c r="Y21" s="8" t="n">
        <v>0.0625</v>
      </c>
      <c r="Z21" s="8" t="n">
        <v>0.0625</v>
      </c>
      <c r="AA21" s="8" t="n">
        <v>0.0208</v>
      </c>
      <c r="AB21" s="8" t="n">
        <v>0.0208</v>
      </c>
      <c r="AC21" s="8" t="n">
        <v>0.0208</v>
      </c>
      <c r="AD21" s="8" t="n">
        <v>0.0208</v>
      </c>
      <c r="AE21" s="8" t="n">
        <v>0.0625</v>
      </c>
      <c r="AF21" s="8" t="n">
        <v>0.0208</v>
      </c>
      <c r="AG21" s="8" t="n">
        <v>0.0208</v>
      </c>
      <c r="AH21" s="8" t="n">
        <v>0.0208</v>
      </c>
      <c r="AI21" s="8" t="n">
        <v>0.625</v>
      </c>
      <c r="AJ21" s="8" t="n">
        <v>1.6</v>
      </c>
      <c r="AK21" s="8" t="n">
        <v>82.42</v>
      </c>
    </row>
    <row r="22">
      <c r="A22" s="9" t="n">
        <v>12</v>
      </c>
      <c r="B22" s="9" t="inlineStr">
        <is>
          <t>涪陵区</t>
        </is>
      </c>
      <c r="C22" s="9" t="n">
        <v>3.9</v>
      </c>
      <c r="D22" s="9" t="n">
        <v>7.79</v>
      </c>
      <c r="E22" s="9" t="n">
        <v>1.3</v>
      </c>
      <c r="F22" s="9" t="n">
        <v>3.9</v>
      </c>
      <c r="G22" s="9" t="n">
        <v>1.3</v>
      </c>
      <c r="H22" s="9" t="n">
        <v>5.19</v>
      </c>
      <c r="I22" s="9" t="n">
        <v>10.39</v>
      </c>
      <c r="J22" s="9" t="n">
        <v>2.6</v>
      </c>
      <c r="K22" s="9" t="n">
        <v>0</v>
      </c>
      <c r="L22" s="9" t="n">
        <v>5.19</v>
      </c>
      <c r="M22" s="9" t="n">
        <v>9.09</v>
      </c>
      <c r="N22" s="9" t="n">
        <v>10.39</v>
      </c>
      <c r="O22" s="9" t="n">
        <v>15.58</v>
      </c>
      <c r="P22" s="9" t="n">
        <v>10.39</v>
      </c>
      <c r="Q22" s="9" t="n">
        <v>1.3</v>
      </c>
      <c r="R22" s="9" t="n">
        <v>11.69</v>
      </c>
      <c r="S22" s="9" t="n">
        <v>0.0235</v>
      </c>
      <c r="T22" s="9" t="n">
        <v>0.0154</v>
      </c>
      <c r="U22" s="9" t="n">
        <v>0.0495</v>
      </c>
      <c r="V22" s="9" t="n">
        <v>0.0235</v>
      </c>
      <c r="W22" s="9" t="n">
        <v>0.0495</v>
      </c>
      <c r="X22" s="9" t="n">
        <v>0.0106</v>
      </c>
      <c r="Y22" s="9" t="n">
        <v>0.0414</v>
      </c>
      <c r="Z22" s="9" t="n">
        <v>0.0365</v>
      </c>
      <c r="AA22" s="9" t="n">
        <v>0.0625</v>
      </c>
      <c r="AB22" s="9" t="n">
        <v>0.0106</v>
      </c>
      <c r="AC22" s="9" t="n">
        <v>0.0284</v>
      </c>
      <c r="AD22" s="9" t="n">
        <v>0.0414</v>
      </c>
      <c r="AE22" s="9" t="n">
        <v>0.09329999999999999</v>
      </c>
      <c r="AF22" s="9" t="n">
        <v>0.0414</v>
      </c>
      <c r="AG22" s="9" t="n">
        <v>0.0495</v>
      </c>
      <c r="AH22" s="9" t="n">
        <v>0.0544</v>
      </c>
      <c r="AI22" s="9" t="n">
        <v>0.6315</v>
      </c>
      <c r="AJ22" s="9" t="n">
        <v>1.5835</v>
      </c>
      <c r="AK22" s="9" t="n">
        <v>82.03</v>
      </c>
    </row>
    <row r="23">
      <c r="A23" s="8" t="n">
        <v>13</v>
      </c>
      <c r="B23" s="8" t="inlineStr">
        <is>
          <t>万州区</t>
        </is>
      </c>
      <c r="C23" s="8" t="n">
        <v>4.46</v>
      </c>
      <c r="D23" s="8" t="n">
        <v>4.46</v>
      </c>
      <c r="E23" s="8" t="n">
        <v>0.89</v>
      </c>
      <c r="F23" s="8" t="n">
        <v>3.57</v>
      </c>
      <c r="G23" s="8" t="n">
        <v>1.79</v>
      </c>
      <c r="H23" s="8" t="n">
        <v>5.36</v>
      </c>
      <c r="I23" s="8" t="n">
        <v>8.039999999999999</v>
      </c>
      <c r="J23" s="8" t="n">
        <v>1.79</v>
      </c>
      <c r="K23" s="8" t="n">
        <v>1.79</v>
      </c>
      <c r="L23" s="8" t="n">
        <v>5.36</v>
      </c>
      <c r="M23" s="8" t="n">
        <v>16.07</v>
      </c>
      <c r="N23" s="8" t="n">
        <v>9.82</v>
      </c>
      <c r="O23" s="8" t="n">
        <v>15.18</v>
      </c>
      <c r="P23" s="8" t="n">
        <v>8.93</v>
      </c>
      <c r="Q23" s="8" t="n">
        <v>0.89</v>
      </c>
      <c r="R23" s="8" t="n">
        <v>11.61</v>
      </c>
      <c r="S23" s="8" t="n">
        <v>0.0179</v>
      </c>
      <c r="T23" s="8" t="n">
        <v>0.0179</v>
      </c>
      <c r="U23" s="8" t="n">
        <v>0.0536</v>
      </c>
      <c r="V23" s="8" t="n">
        <v>0.0268</v>
      </c>
      <c r="W23" s="8" t="n">
        <v>0.0446</v>
      </c>
      <c r="X23" s="8" t="n">
        <v>0.0089</v>
      </c>
      <c r="Y23" s="8" t="n">
        <v>0.0179</v>
      </c>
      <c r="Z23" s="8" t="n">
        <v>0.0446</v>
      </c>
      <c r="AA23" s="8" t="n">
        <v>0.0446</v>
      </c>
      <c r="AB23" s="8" t="n">
        <v>0.0089</v>
      </c>
      <c r="AC23" s="8" t="n">
        <v>0.0982</v>
      </c>
      <c r="AD23" s="8" t="n">
        <v>0.0357</v>
      </c>
      <c r="AE23" s="8" t="n">
        <v>0.0893</v>
      </c>
      <c r="AF23" s="8" t="n">
        <v>0.0268</v>
      </c>
      <c r="AG23" s="8" t="n">
        <v>0.0536</v>
      </c>
      <c r="AH23" s="8" t="n">
        <v>0.0536</v>
      </c>
      <c r="AI23" s="8" t="n">
        <v>0.6429</v>
      </c>
      <c r="AJ23" s="8" t="n">
        <v>1.5556</v>
      </c>
      <c r="AK23" s="8" t="n">
        <v>81.37</v>
      </c>
    </row>
    <row r="24">
      <c r="A24" s="9" t="n">
        <v>14</v>
      </c>
      <c r="B24" s="9" t="inlineStr">
        <is>
          <t>南岸区</t>
        </is>
      </c>
      <c r="C24" s="9" t="n">
        <v>2.83</v>
      </c>
      <c r="D24" s="9" t="n">
        <v>9.43</v>
      </c>
      <c r="E24" s="9" t="n">
        <v>1.89</v>
      </c>
      <c r="F24" s="9" t="n">
        <v>8.49</v>
      </c>
      <c r="G24" s="9" t="n">
        <v>1.89</v>
      </c>
      <c r="H24" s="9" t="n">
        <v>6.6</v>
      </c>
      <c r="I24" s="9" t="n">
        <v>3.77</v>
      </c>
      <c r="J24" s="9" t="n">
        <v>0.9399999999999999</v>
      </c>
      <c r="K24" s="9" t="n">
        <v>0.9399999999999999</v>
      </c>
      <c r="L24" s="9" t="n">
        <v>6.6</v>
      </c>
      <c r="M24" s="9" t="n">
        <v>13.21</v>
      </c>
      <c r="N24" s="9" t="n">
        <v>12.26</v>
      </c>
      <c r="O24" s="9" t="n">
        <v>11.32</v>
      </c>
      <c r="P24" s="9" t="n">
        <v>15.09</v>
      </c>
      <c r="Q24" s="9" t="n">
        <v>0.9399999999999999</v>
      </c>
      <c r="R24" s="9" t="n">
        <v>3.77</v>
      </c>
      <c r="S24" s="9" t="n">
        <v>0.0342</v>
      </c>
      <c r="T24" s="9" t="n">
        <v>0.0318</v>
      </c>
      <c r="U24" s="9" t="n">
        <v>0.0436</v>
      </c>
      <c r="V24" s="9" t="n">
        <v>0.0224</v>
      </c>
      <c r="W24" s="9" t="n">
        <v>0.0436</v>
      </c>
      <c r="X24" s="9" t="n">
        <v>0.0035</v>
      </c>
      <c r="Y24" s="9" t="n">
        <v>0.0248</v>
      </c>
      <c r="Z24" s="9" t="n">
        <v>0.0531</v>
      </c>
      <c r="AA24" s="9" t="n">
        <v>0.0531</v>
      </c>
      <c r="AB24" s="9" t="n">
        <v>0.0035</v>
      </c>
      <c r="AC24" s="9" t="n">
        <v>0.0696</v>
      </c>
      <c r="AD24" s="9" t="n">
        <v>0.0601</v>
      </c>
      <c r="AE24" s="9" t="n">
        <v>0.0507</v>
      </c>
      <c r="AF24" s="9" t="n">
        <v>0.08840000000000001</v>
      </c>
      <c r="AG24" s="9" t="n">
        <v>0.0531</v>
      </c>
      <c r="AH24" s="9" t="n">
        <v>0.0248</v>
      </c>
      <c r="AI24" s="9" t="n">
        <v>0.6604</v>
      </c>
      <c r="AJ24" s="9" t="n">
        <v>1.5143</v>
      </c>
      <c r="AK24" s="9" t="n">
        <v>80.39</v>
      </c>
    </row>
    <row r="25">
      <c r="A25" s="8" t="n">
        <v>15</v>
      </c>
      <c r="B25" s="8" t="inlineStr">
        <is>
          <t>黔江区</t>
        </is>
      </c>
      <c r="C25" s="8" t="n">
        <v>0</v>
      </c>
      <c r="D25" s="8" t="n">
        <v>1.92</v>
      </c>
      <c r="E25" s="8" t="n">
        <v>1.92</v>
      </c>
      <c r="F25" s="8" t="n">
        <v>1.92</v>
      </c>
      <c r="G25" s="8" t="n">
        <v>1.92</v>
      </c>
      <c r="H25" s="8" t="n">
        <v>5.77</v>
      </c>
      <c r="I25" s="8" t="n">
        <v>9.619999999999999</v>
      </c>
      <c r="J25" s="8" t="n">
        <v>0</v>
      </c>
      <c r="K25" s="8" t="n">
        <v>5.77</v>
      </c>
      <c r="L25" s="8" t="n">
        <v>7.69</v>
      </c>
      <c r="M25" s="8" t="n">
        <v>13.46</v>
      </c>
      <c r="N25" s="8" t="n">
        <v>17.31</v>
      </c>
      <c r="O25" s="8" t="n">
        <v>13.46</v>
      </c>
      <c r="P25" s="8" t="n">
        <v>5.77</v>
      </c>
      <c r="Q25" s="8" t="n">
        <v>3.85</v>
      </c>
      <c r="R25" s="8" t="n">
        <v>9.619999999999999</v>
      </c>
      <c r="S25" s="8" t="n">
        <v>0.0625</v>
      </c>
      <c r="T25" s="8" t="n">
        <v>0.0433</v>
      </c>
      <c r="U25" s="8" t="n">
        <v>0.0433</v>
      </c>
      <c r="V25" s="8" t="n">
        <v>0.0433</v>
      </c>
      <c r="W25" s="8" t="n">
        <v>0.0433</v>
      </c>
      <c r="X25" s="8" t="n">
        <v>0.0048</v>
      </c>
      <c r="Y25" s="8" t="n">
        <v>0.0337</v>
      </c>
      <c r="Z25" s="8" t="n">
        <v>0.0625</v>
      </c>
      <c r="AA25" s="8" t="n">
        <v>0.0048</v>
      </c>
      <c r="AB25" s="8" t="n">
        <v>0.0144</v>
      </c>
      <c r="AC25" s="8" t="n">
        <v>0.0721</v>
      </c>
      <c r="AD25" s="8" t="n">
        <v>0.1106</v>
      </c>
      <c r="AE25" s="8" t="n">
        <v>0.0721</v>
      </c>
      <c r="AF25" s="8" t="n">
        <v>0.0048</v>
      </c>
      <c r="AG25" s="8" t="n">
        <v>0.024</v>
      </c>
      <c r="AH25" s="8" t="n">
        <v>0.0337</v>
      </c>
      <c r="AI25" s="8" t="n">
        <v>0.6731</v>
      </c>
      <c r="AJ25" s="8" t="n">
        <v>1.4857</v>
      </c>
      <c r="AK25" s="8" t="n">
        <v>79.70999999999999</v>
      </c>
    </row>
    <row r="26">
      <c r="A26" s="9" t="n">
        <v>16</v>
      </c>
      <c r="B26" s="9" t="inlineStr">
        <is>
          <t>大渡口区</t>
        </is>
      </c>
      <c r="C26" s="9" t="n">
        <v>0</v>
      </c>
      <c r="D26" s="9" t="n">
        <v>4.76</v>
      </c>
      <c r="E26" s="9" t="n">
        <v>2.38</v>
      </c>
      <c r="F26" s="9" t="n">
        <v>4.76</v>
      </c>
      <c r="G26" s="9" t="n">
        <v>0</v>
      </c>
      <c r="H26" s="9" t="n">
        <v>9.52</v>
      </c>
      <c r="I26" s="9" t="n">
        <v>9.52</v>
      </c>
      <c r="J26" s="9" t="n">
        <v>0</v>
      </c>
      <c r="K26" s="9" t="n">
        <v>4.76</v>
      </c>
      <c r="L26" s="9" t="n">
        <v>2.38</v>
      </c>
      <c r="M26" s="9" t="n">
        <v>19.05</v>
      </c>
      <c r="N26" s="9" t="n">
        <v>7.14</v>
      </c>
      <c r="O26" s="9" t="n">
        <v>19.05</v>
      </c>
      <c r="P26" s="9" t="n">
        <v>7.14</v>
      </c>
      <c r="Q26" s="9" t="n">
        <v>4.76</v>
      </c>
      <c r="R26" s="9" t="n">
        <v>4.76</v>
      </c>
      <c r="S26" s="9" t="n">
        <v>0.0625</v>
      </c>
      <c r="T26" s="9" t="n">
        <v>0.0149</v>
      </c>
      <c r="U26" s="9" t="n">
        <v>0.0387</v>
      </c>
      <c r="V26" s="9" t="n">
        <v>0.0149</v>
      </c>
      <c r="W26" s="9" t="n">
        <v>0.0625</v>
      </c>
      <c r="X26" s="9" t="n">
        <v>0.0327</v>
      </c>
      <c r="Y26" s="9" t="n">
        <v>0.0327</v>
      </c>
      <c r="Z26" s="9" t="n">
        <v>0.0625</v>
      </c>
      <c r="AA26" s="9" t="n">
        <v>0.0149</v>
      </c>
      <c r="AB26" s="9" t="n">
        <v>0.0387</v>
      </c>
      <c r="AC26" s="9" t="n">
        <v>0.128</v>
      </c>
      <c r="AD26" s="9" t="n">
        <v>0.0089</v>
      </c>
      <c r="AE26" s="9" t="n">
        <v>0.128</v>
      </c>
      <c r="AF26" s="9" t="n">
        <v>0.0089</v>
      </c>
      <c r="AG26" s="9" t="n">
        <v>0.0149</v>
      </c>
      <c r="AH26" s="9" t="n">
        <v>0.0149</v>
      </c>
      <c r="AI26" s="9" t="n">
        <v>0.6786</v>
      </c>
      <c r="AJ26" s="9" t="n">
        <v>1.4737</v>
      </c>
      <c r="AK26" s="9" t="n">
        <v>79.42</v>
      </c>
    </row>
    <row r="27">
      <c r="A27" s="8" t="n">
        <v>17</v>
      </c>
      <c r="B27" s="8" t="inlineStr">
        <is>
          <t>沙坪坝区</t>
        </is>
      </c>
      <c r="C27" s="8" t="n">
        <v>6.17</v>
      </c>
      <c r="D27" s="8" t="n">
        <v>4.94</v>
      </c>
      <c r="E27" s="8" t="n">
        <v>6.17</v>
      </c>
      <c r="F27" s="8" t="n">
        <v>2.47</v>
      </c>
      <c r="G27" s="8" t="n">
        <v>0</v>
      </c>
      <c r="H27" s="8" t="n">
        <v>1.23</v>
      </c>
      <c r="I27" s="8" t="n">
        <v>7.41</v>
      </c>
      <c r="J27" s="8" t="n">
        <v>0</v>
      </c>
      <c r="K27" s="8" t="n">
        <v>0</v>
      </c>
      <c r="L27" s="8" t="n">
        <v>7.41</v>
      </c>
      <c r="M27" s="8" t="n">
        <v>12.35</v>
      </c>
      <c r="N27" s="8" t="n">
        <v>7.41</v>
      </c>
      <c r="O27" s="8" t="n">
        <v>20.99</v>
      </c>
      <c r="P27" s="8" t="n">
        <v>12.35</v>
      </c>
      <c r="Q27" s="8" t="n">
        <v>1.23</v>
      </c>
      <c r="R27" s="8" t="n">
        <v>9.880000000000001</v>
      </c>
      <c r="S27" s="8" t="n">
        <v>0.0008</v>
      </c>
      <c r="T27" s="8" t="n">
        <v>0.0131</v>
      </c>
      <c r="U27" s="8" t="n">
        <v>0.0008</v>
      </c>
      <c r="V27" s="8" t="n">
        <v>0.0378</v>
      </c>
      <c r="W27" s="8" t="n">
        <v>0.0625</v>
      </c>
      <c r="X27" s="8" t="n">
        <v>0.0502</v>
      </c>
      <c r="Y27" s="8" t="n">
        <v>0.0116</v>
      </c>
      <c r="Z27" s="8" t="n">
        <v>0.0625</v>
      </c>
      <c r="AA27" s="8" t="n">
        <v>0.0625</v>
      </c>
      <c r="AB27" s="8" t="n">
        <v>0.0116</v>
      </c>
      <c r="AC27" s="8" t="n">
        <v>0.061</v>
      </c>
      <c r="AD27" s="8" t="n">
        <v>0.0116</v>
      </c>
      <c r="AE27" s="8" t="n">
        <v>0.1474</v>
      </c>
      <c r="AF27" s="8" t="n">
        <v>0.061</v>
      </c>
      <c r="AG27" s="8" t="n">
        <v>0.0502</v>
      </c>
      <c r="AH27" s="8" t="n">
        <v>0.0363</v>
      </c>
      <c r="AI27" s="8" t="n">
        <v>0.6806</v>
      </c>
      <c r="AJ27" s="8" t="n">
        <v>1.4694</v>
      </c>
      <c r="AK27" s="8" t="n">
        <v>79.31999999999999</v>
      </c>
    </row>
    <row r="28">
      <c r="A28" s="9" t="n">
        <v>18</v>
      </c>
      <c r="B28" s="9" t="inlineStr">
        <is>
          <t>铜梁区</t>
        </is>
      </c>
      <c r="C28" s="9" t="n">
        <v>3.66</v>
      </c>
      <c r="D28" s="9" t="n">
        <v>7.32</v>
      </c>
      <c r="E28" s="9" t="n">
        <v>3.66</v>
      </c>
      <c r="F28" s="9" t="n">
        <v>7.32</v>
      </c>
      <c r="G28" s="9" t="n">
        <v>0</v>
      </c>
      <c r="H28" s="9" t="n">
        <v>4.88</v>
      </c>
      <c r="I28" s="9" t="n">
        <v>7.32</v>
      </c>
      <c r="J28" s="9" t="n">
        <v>0</v>
      </c>
      <c r="K28" s="9" t="n">
        <v>3.66</v>
      </c>
      <c r="L28" s="9" t="n">
        <v>1.22</v>
      </c>
      <c r="M28" s="9" t="n">
        <v>15.85</v>
      </c>
      <c r="N28" s="9" t="n">
        <v>8.539999999999999</v>
      </c>
      <c r="O28" s="9" t="n">
        <v>19.51</v>
      </c>
      <c r="P28" s="9" t="n">
        <v>12.2</v>
      </c>
      <c r="Q28" s="9" t="n">
        <v>1.22</v>
      </c>
      <c r="R28" s="9" t="n">
        <v>3.66</v>
      </c>
      <c r="S28" s="9" t="n">
        <v>0.0259</v>
      </c>
      <c r="T28" s="9" t="n">
        <v>0.0107</v>
      </c>
      <c r="U28" s="9" t="n">
        <v>0.0259</v>
      </c>
      <c r="V28" s="9" t="n">
        <v>0.0107</v>
      </c>
      <c r="W28" s="9" t="n">
        <v>0.0625</v>
      </c>
      <c r="X28" s="9" t="n">
        <v>0.0137</v>
      </c>
      <c r="Y28" s="9" t="n">
        <v>0.0107</v>
      </c>
      <c r="Z28" s="9" t="n">
        <v>0.0625</v>
      </c>
      <c r="AA28" s="9" t="n">
        <v>0.0259</v>
      </c>
      <c r="AB28" s="9" t="n">
        <v>0.0503</v>
      </c>
      <c r="AC28" s="9" t="n">
        <v>0.096</v>
      </c>
      <c r="AD28" s="9" t="n">
        <v>0.0229</v>
      </c>
      <c r="AE28" s="9" t="n">
        <v>0.1326</v>
      </c>
      <c r="AF28" s="9" t="n">
        <v>0.0595</v>
      </c>
      <c r="AG28" s="9" t="n">
        <v>0.0503</v>
      </c>
      <c r="AH28" s="9" t="n">
        <v>0.0259</v>
      </c>
      <c r="AI28" s="9" t="n">
        <v>0.6860000000000001</v>
      </c>
      <c r="AJ28" s="9" t="n">
        <v>1.4578</v>
      </c>
      <c r="AK28" s="9" t="n">
        <v>79.04000000000001</v>
      </c>
    </row>
    <row r="29">
      <c r="A29" s="8" t="n">
        <v>19</v>
      </c>
      <c r="B29" s="8" t="inlineStr">
        <is>
          <t>梁平区</t>
        </is>
      </c>
      <c r="C29" s="8" t="n">
        <v>1.12</v>
      </c>
      <c r="D29" s="8" t="n">
        <v>5.62</v>
      </c>
      <c r="E29" s="8" t="n">
        <v>2.25</v>
      </c>
      <c r="F29" s="8" t="n">
        <v>5.62</v>
      </c>
      <c r="G29" s="8" t="n">
        <v>0</v>
      </c>
      <c r="H29" s="8" t="n">
        <v>3.37</v>
      </c>
      <c r="I29" s="8" t="n">
        <v>10.11</v>
      </c>
      <c r="J29" s="8" t="n">
        <v>0</v>
      </c>
      <c r="K29" s="8" t="n">
        <v>3.37</v>
      </c>
      <c r="L29" s="8" t="n">
        <v>5.62</v>
      </c>
      <c r="M29" s="8" t="n">
        <v>21.35</v>
      </c>
      <c r="N29" s="8" t="n">
        <v>12.36</v>
      </c>
      <c r="O29" s="8" t="n">
        <v>12.36</v>
      </c>
      <c r="P29" s="8" t="n">
        <v>6.74</v>
      </c>
      <c r="Q29" s="8" t="n">
        <v>1.12</v>
      </c>
      <c r="R29" s="8" t="n">
        <v>8.99</v>
      </c>
      <c r="S29" s="8" t="n">
        <v>0.0513</v>
      </c>
      <c r="T29" s="8" t="n">
        <v>0.0063</v>
      </c>
      <c r="U29" s="8" t="n">
        <v>0.04</v>
      </c>
      <c r="V29" s="8" t="n">
        <v>0.0063</v>
      </c>
      <c r="W29" s="8" t="n">
        <v>0.0625</v>
      </c>
      <c r="X29" s="8" t="n">
        <v>0.0288</v>
      </c>
      <c r="Y29" s="8" t="n">
        <v>0.0386</v>
      </c>
      <c r="Z29" s="8" t="n">
        <v>0.0625</v>
      </c>
      <c r="AA29" s="8" t="n">
        <v>0.0288</v>
      </c>
      <c r="AB29" s="8" t="n">
        <v>0.0063</v>
      </c>
      <c r="AC29" s="8" t="n">
        <v>0.151</v>
      </c>
      <c r="AD29" s="8" t="n">
        <v>0.0611</v>
      </c>
      <c r="AE29" s="8" t="n">
        <v>0.0611</v>
      </c>
      <c r="AF29" s="8" t="n">
        <v>0.0049</v>
      </c>
      <c r="AG29" s="8" t="n">
        <v>0.0513</v>
      </c>
      <c r="AH29" s="8" t="n">
        <v>0.0274</v>
      </c>
      <c r="AI29" s="8" t="n">
        <v>0.6882</v>
      </c>
      <c r="AJ29" s="8" t="n">
        <v>1.4531</v>
      </c>
      <c r="AK29" s="8" t="n">
        <v>78.93000000000001</v>
      </c>
    </row>
    <row r="30">
      <c r="A30" s="9" t="n">
        <v>20</v>
      </c>
      <c r="B30" s="9" t="inlineStr">
        <is>
          <t>巫溪县</t>
        </is>
      </c>
      <c r="C30" s="9" t="n">
        <v>0</v>
      </c>
      <c r="D30" s="9" t="n">
        <v>10.53</v>
      </c>
      <c r="E30" s="9" t="n">
        <v>0</v>
      </c>
      <c r="F30" s="9" t="n">
        <v>10.53</v>
      </c>
      <c r="G30" s="9" t="n">
        <v>10.53</v>
      </c>
      <c r="H30" s="9" t="n">
        <v>0</v>
      </c>
      <c r="I30" s="9" t="n">
        <v>10.53</v>
      </c>
      <c r="J30" s="9" t="n">
        <v>0</v>
      </c>
      <c r="K30" s="9" t="n">
        <v>5.26</v>
      </c>
      <c r="L30" s="9" t="n">
        <v>10.53</v>
      </c>
      <c r="M30" s="9" t="n">
        <v>5.26</v>
      </c>
      <c r="N30" s="9" t="n">
        <v>10.53</v>
      </c>
      <c r="O30" s="9" t="n">
        <v>5.26</v>
      </c>
      <c r="P30" s="9" t="n">
        <v>15.79</v>
      </c>
      <c r="Q30" s="9" t="n">
        <v>0</v>
      </c>
      <c r="R30" s="9" t="n">
        <v>5.26</v>
      </c>
      <c r="S30" s="9" t="n">
        <v>0.0625</v>
      </c>
      <c r="T30" s="9" t="n">
        <v>0.0428</v>
      </c>
      <c r="U30" s="9" t="n">
        <v>0.0625</v>
      </c>
      <c r="V30" s="9" t="n">
        <v>0.0428</v>
      </c>
      <c r="W30" s="9" t="n">
        <v>0.0428</v>
      </c>
      <c r="X30" s="9" t="n">
        <v>0.0625</v>
      </c>
      <c r="Y30" s="9" t="n">
        <v>0.0428</v>
      </c>
      <c r="Z30" s="9" t="n">
        <v>0.0625</v>
      </c>
      <c r="AA30" s="9" t="n">
        <v>0.009900000000000001</v>
      </c>
      <c r="AB30" s="9" t="n">
        <v>0.0428</v>
      </c>
      <c r="AC30" s="9" t="n">
        <v>0.009900000000000001</v>
      </c>
      <c r="AD30" s="9" t="n">
        <v>0.0428</v>
      </c>
      <c r="AE30" s="9" t="n">
        <v>0.009900000000000001</v>
      </c>
      <c r="AF30" s="9" t="n">
        <v>0.0954</v>
      </c>
      <c r="AG30" s="9" t="n">
        <v>0.0625</v>
      </c>
      <c r="AH30" s="9" t="n">
        <v>0.009900000000000001</v>
      </c>
      <c r="AI30" s="9" t="n">
        <v>0.7039</v>
      </c>
      <c r="AJ30" s="9" t="n">
        <v>1.4206</v>
      </c>
      <c r="AK30" s="9" t="n">
        <v>78.16</v>
      </c>
    </row>
    <row r="31">
      <c r="A31" s="8" t="n">
        <v>21</v>
      </c>
      <c r="B31" s="8" t="inlineStr">
        <is>
          <t>忠县</t>
        </is>
      </c>
      <c r="C31" s="8" t="n">
        <v>0</v>
      </c>
      <c r="D31" s="8" t="n">
        <v>6.67</v>
      </c>
      <c r="E31" s="8" t="n">
        <v>1.67</v>
      </c>
      <c r="F31" s="8" t="n">
        <v>0</v>
      </c>
      <c r="G31" s="8" t="n">
        <v>0</v>
      </c>
      <c r="H31" s="8" t="n">
        <v>5</v>
      </c>
      <c r="I31" s="8" t="n">
        <v>8.33</v>
      </c>
      <c r="J31" s="8" t="n">
        <v>0</v>
      </c>
      <c r="K31" s="8" t="n">
        <v>6.67</v>
      </c>
      <c r="L31" s="8" t="n">
        <v>6.67</v>
      </c>
      <c r="M31" s="8" t="n">
        <v>13.33</v>
      </c>
      <c r="N31" s="8" t="n">
        <v>16.67</v>
      </c>
      <c r="O31" s="8" t="n">
        <v>15</v>
      </c>
      <c r="P31" s="8" t="n">
        <v>8.33</v>
      </c>
      <c r="Q31" s="8" t="n">
        <v>1.67</v>
      </c>
      <c r="R31" s="8" t="n">
        <v>10</v>
      </c>
      <c r="S31" s="8" t="n">
        <v>0.0625</v>
      </c>
      <c r="T31" s="8" t="n">
        <v>0.0042</v>
      </c>
      <c r="U31" s="8" t="n">
        <v>0.0458</v>
      </c>
      <c r="V31" s="8" t="n">
        <v>0.0625</v>
      </c>
      <c r="W31" s="8" t="n">
        <v>0.0625</v>
      </c>
      <c r="X31" s="8" t="n">
        <v>0.0125</v>
      </c>
      <c r="Y31" s="8" t="n">
        <v>0.0208</v>
      </c>
      <c r="Z31" s="8" t="n">
        <v>0.0625</v>
      </c>
      <c r="AA31" s="8" t="n">
        <v>0.0042</v>
      </c>
      <c r="AB31" s="8" t="n">
        <v>0.0042</v>
      </c>
      <c r="AC31" s="8" t="n">
        <v>0.0708</v>
      </c>
      <c r="AD31" s="8" t="n">
        <v>0.1042</v>
      </c>
      <c r="AE31" s="8" t="n">
        <v>0.08749999999999999</v>
      </c>
      <c r="AF31" s="8" t="n">
        <v>0.0208</v>
      </c>
      <c r="AG31" s="8" t="n">
        <v>0.0458</v>
      </c>
      <c r="AH31" s="8" t="n">
        <v>0.0375</v>
      </c>
      <c r="AI31" s="8" t="n">
        <v>0.7083</v>
      </c>
      <c r="AJ31" s="8" t="n">
        <v>1.4118</v>
      </c>
      <c r="AK31" s="8" t="n">
        <v>77.95</v>
      </c>
    </row>
    <row r="32">
      <c r="A32" s="9" t="n">
        <v>22</v>
      </c>
      <c r="B32" s="9" t="inlineStr">
        <is>
          <t>合川区</t>
        </is>
      </c>
      <c r="C32" s="9" t="n">
        <v>2.63</v>
      </c>
      <c r="D32" s="9" t="n">
        <v>2.63</v>
      </c>
      <c r="E32" s="9" t="n">
        <v>5.26</v>
      </c>
      <c r="F32" s="9" t="n">
        <v>5.26</v>
      </c>
      <c r="G32" s="9" t="n">
        <v>0</v>
      </c>
      <c r="H32" s="9" t="n">
        <v>7.89</v>
      </c>
      <c r="I32" s="9" t="n">
        <v>13.16</v>
      </c>
      <c r="J32" s="9" t="n">
        <v>0</v>
      </c>
      <c r="K32" s="9" t="n">
        <v>0</v>
      </c>
      <c r="L32" s="9" t="n">
        <v>5.26</v>
      </c>
      <c r="M32" s="9" t="n">
        <v>15.79</v>
      </c>
      <c r="N32" s="9" t="n">
        <v>10.53</v>
      </c>
      <c r="O32" s="9" t="n">
        <v>15.79</v>
      </c>
      <c r="P32" s="9" t="n">
        <v>10.53</v>
      </c>
      <c r="Q32" s="9" t="n">
        <v>2.63</v>
      </c>
      <c r="R32" s="9" t="n">
        <v>2.63</v>
      </c>
      <c r="S32" s="9" t="n">
        <v>0.0362</v>
      </c>
      <c r="T32" s="9" t="n">
        <v>0.0362</v>
      </c>
      <c r="U32" s="9" t="n">
        <v>0.009900000000000001</v>
      </c>
      <c r="V32" s="9" t="n">
        <v>0.009900000000000001</v>
      </c>
      <c r="W32" s="9" t="n">
        <v>0.0625</v>
      </c>
      <c r="X32" s="9" t="n">
        <v>0.0164</v>
      </c>
      <c r="Y32" s="9" t="n">
        <v>0.06909999999999999</v>
      </c>
      <c r="Z32" s="9" t="n">
        <v>0.0625</v>
      </c>
      <c r="AA32" s="9" t="n">
        <v>0.0625</v>
      </c>
      <c r="AB32" s="9" t="n">
        <v>0.009900000000000001</v>
      </c>
      <c r="AC32" s="9" t="n">
        <v>0.0954</v>
      </c>
      <c r="AD32" s="9" t="n">
        <v>0.0428</v>
      </c>
      <c r="AE32" s="9" t="n">
        <v>0.0954</v>
      </c>
      <c r="AF32" s="9" t="n">
        <v>0.0428</v>
      </c>
      <c r="AG32" s="9" t="n">
        <v>0.0362</v>
      </c>
      <c r="AH32" s="9" t="n">
        <v>0.0362</v>
      </c>
      <c r="AI32" s="9" t="n">
        <v>0.7237</v>
      </c>
      <c r="AJ32" s="9" t="n">
        <v>1.3818</v>
      </c>
      <c r="AK32" s="9" t="n">
        <v>77.23999999999999</v>
      </c>
    </row>
    <row r="33">
      <c r="A33" s="8" t="n">
        <v>23</v>
      </c>
      <c r="B33" s="8" t="inlineStr">
        <is>
          <t>永川区</t>
        </is>
      </c>
      <c r="C33" s="8" t="n">
        <v>1.43</v>
      </c>
      <c r="D33" s="8" t="n">
        <v>8.57</v>
      </c>
      <c r="E33" s="8" t="n">
        <v>4.29</v>
      </c>
      <c r="F33" s="8" t="n">
        <v>2.86</v>
      </c>
      <c r="G33" s="8" t="n">
        <v>1.43</v>
      </c>
      <c r="H33" s="8" t="n">
        <v>5.71</v>
      </c>
      <c r="I33" s="8" t="n">
        <v>10</v>
      </c>
      <c r="J33" s="8" t="n">
        <v>0</v>
      </c>
      <c r="K33" s="8" t="n">
        <v>0</v>
      </c>
      <c r="L33" s="8" t="n">
        <v>2.86</v>
      </c>
      <c r="M33" s="8" t="n">
        <v>15.71</v>
      </c>
      <c r="N33" s="8" t="n">
        <v>7.14</v>
      </c>
      <c r="O33" s="8" t="n">
        <v>20</v>
      </c>
      <c r="P33" s="8" t="n">
        <v>10</v>
      </c>
      <c r="Q33" s="8" t="n">
        <v>1.43</v>
      </c>
      <c r="R33" s="8" t="n">
        <v>8.57</v>
      </c>
      <c r="S33" s="8" t="n">
        <v>0.0482</v>
      </c>
      <c r="T33" s="8" t="n">
        <v>0.0232</v>
      </c>
      <c r="U33" s="8" t="n">
        <v>0.0196</v>
      </c>
      <c r="V33" s="8" t="n">
        <v>0.0339</v>
      </c>
      <c r="W33" s="8" t="n">
        <v>0.0482</v>
      </c>
      <c r="X33" s="8" t="n">
        <v>0.0054</v>
      </c>
      <c r="Y33" s="8" t="n">
        <v>0.0375</v>
      </c>
      <c r="Z33" s="8" t="n">
        <v>0.0625</v>
      </c>
      <c r="AA33" s="8" t="n">
        <v>0.0625</v>
      </c>
      <c r="AB33" s="8" t="n">
        <v>0.0339</v>
      </c>
      <c r="AC33" s="8" t="n">
        <v>0.0946</v>
      </c>
      <c r="AD33" s="8" t="n">
        <v>0.0089</v>
      </c>
      <c r="AE33" s="8" t="n">
        <v>0.1375</v>
      </c>
      <c r="AF33" s="8" t="n">
        <v>0.0375</v>
      </c>
      <c r="AG33" s="8" t="n">
        <v>0.0482</v>
      </c>
      <c r="AH33" s="8" t="n">
        <v>0.0232</v>
      </c>
      <c r="AI33" s="8" t="n">
        <v>0.725</v>
      </c>
      <c r="AJ33" s="8" t="n">
        <v>1.3793</v>
      </c>
      <c r="AK33" s="8" t="n">
        <v>77.18000000000001</v>
      </c>
    </row>
    <row r="34">
      <c r="A34" s="9" t="n">
        <v>24</v>
      </c>
      <c r="B34" s="9" t="inlineStr">
        <is>
          <t>万盛经开区</t>
        </is>
      </c>
      <c r="C34" s="9" t="n">
        <v>0</v>
      </c>
      <c r="D34" s="9" t="n">
        <v>8.06</v>
      </c>
      <c r="E34" s="9" t="n">
        <v>1.61</v>
      </c>
      <c r="F34" s="9" t="n">
        <v>1.61</v>
      </c>
      <c r="G34" s="9" t="n">
        <v>1.61</v>
      </c>
      <c r="H34" s="9" t="n">
        <v>11.29</v>
      </c>
      <c r="I34" s="9" t="n">
        <v>6.45</v>
      </c>
      <c r="J34" s="9" t="n">
        <v>9.68</v>
      </c>
      <c r="K34" s="9" t="n">
        <v>0</v>
      </c>
      <c r="L34" s="9" t="n">
        <v>3.23</v>
      </c>
      <c r="M34" s="9" t="n">
        <v>17.74</v>
      </c>
      <c r="N34" s="9" t="n">
        <v>6.45</v>
      </c>
      <c r="O34" s="9" t="n">
        <v>11.29</v>
      </c>
      <c r="P34" s="9" t="n">
        <v>16.13</v>
      </c>
      <c r="Q34" s="9" t="n">
        <v>1.61</v>
      </c>
      <c r="R34" s="9" t="n">
        <v>3.23</v>
      </c>
      <c r="S34" s="9" t="n">
        <v>0.0625</v>
      </c>
      <c r="T34" s="9" t="n">
        <v>0.0181</v>
      </c>
      <c r="U34" s="9" t="n">
        <v>0.0464</v>
      </c>
      <c r="V34" s="9" t="n">
        <v>0.0464</v>
      </c>
      <c r="W34" s="9" t="n">
        <v>0.0464</v>
      </c>
      <c r="X34" s="9" t="n">
        <v>0.0504</v>
      </c>
      <c r="Y34" s="9" t="n">
        <v>0.002</v>
      </c>
      <c r="Z34" s="9" t="n">
        <v>0.0343</v>
      </c>
      <c r="AA34" s="9" t="n">
        <v>0.0625</v>
      </c>
      <c r="AB34" s="9" t="n">
        <v>0.0302</v>
      </c>
      <c r="AC34" s="9" t="n">
        <v>0.1149</v>
      </c>
      <c r="AD34" s="9" t="n">
        <v>0.002</v>
      </c>
      <c r="AE34" s="9" t="n">
        <v>0.0504</v>
      </c>
      <c r="AF34" s="9" t="n">
        <v>0.0988</v>
      </c>
      <c r="AG34" s="9" t="n">
        <v>0.0464</v>
      </c>
      <c r="AH34" s="9" t="n">
        <v>0.0302</v>
      </c>
      <c r="AI34" s="9" t="n">
        <v>0.7419</v>
      </c>
      <c r="AJ34" s="9" t="n">
        <v>1.3478</v>
      </c>
      <c r="AK34" s="9" t="n">
        <v>76.43000000000001</v>
      </c>
    </row>
    <row r="35">
      <c r="A35" s="8" t="n">
        <v>25</v>
      </c>
      <c r="B35" s="8" t="inlineStr">
        <is>
          <t>丰都县</t>
        </is>
      </c>
      <c r="C35" s="8" t="n">
        <v>2.44</v>
      </c>
      <c r="D35" s="8" t="n">
        <v>4.88</v>
      </c>
      <c r="E35" s="8" t="n">
        <v>0</v>
      </c>
      <c r="F35" s="8" t="n">
        <v>2.44</v>
      </c>
      <c r="G35" s="8" t="n">
        <v>0</v>
      </c>
      <c r="H35" s="8" t="n">
        <v>4.88</v>
      </c>
      <c r="I35" s="8" t="n">
        <v>14.63</v>
      </c>
      <c r="J35" s="8" t="n">
        <v>4.88</v>
      </c>
      <c r="K35" s="8" t="n">
        <v>0</v>
      </c>
      <c r="L35" s="8" t="n">
        <v>2.44</v>
      </c>
      <c r="M35" s="8" t="n">
        <v>17.07</v>
      </c>
      <c r="N35" s="8" t="n">
        <v>17.07</v>
      </c>
      <c r="O35" s="8" t="n">
        <v>12.2</v>
      </c>
      <c r="P35" s="8" t="n">
        <v>7.32</v>
      </c>
      <c r="Q35" s="8" t="n">
        <v>2.44</v>
      </c>
      <c r="R35" s="8" t="n">
        <v>7.32</v>
      </c>
      <c r="S35" s="8" t="n">
        <v>0.0381</v>
      </c>
      <c r="T35" s="8" t="n">
        <v>0.0137</v>
      </c>
      <c r="U35" s="8" t="n">
        <v>0.0625</v>
      </c>
      <c r="V35" s="8" t="n">
        <v>0.0381</v>
      </c>
      <c r="W35" s="8" t="n">
        <v>0.0625</v>
      </c>
      <c r="X35" s="8" t="n">
        <v>0.0137</v>
      </c>
      <c r="Y35" s="8" t="n">
        <v>0.0838</v>
      </c>
      <c r="Z35" s="8" t="n">
        <v>0.0137</v>
      </c>
      <c r="AA35" s="8" t="n">
        <v>0.0625</v>
      </c>
      <c r="AB35" s="8" t="n">
        <v>0.0381</v>
      </c>
      <c r="AC35" s="8" t="n">
        <v>0.1082</v>
      </c>
      <c r="AD35" s="8" t="n">
        <v>0.1082</v>
      </c>
      <c r="AE35" s="8" t="n">
        <v>0.0595</v>
      </c>
      <c r="AF35" s="8" t="n">
        <v>0.0107</v>
      </c>
      <c r="AG35" s="8" t="n">
        <v>0.0381</v>
      </c>
      <c r="AH35" s="8" t="n">
        <v>0.0107</v>
      </c>
      <c r="AI35" s="8" t="n">
        <v>0.7622</v>
      </c>
      <c r="AJ35" s="8" t="n">
        <v>1.312</v>
      </c>
      <c r="AK35" s="8" t="n">
        <v>75.58</v>
      </c>
    </row>
    <row r="36">
      <c r="A36" s="9" t="n">
        <v>26</v>
      </c>
      <c r="B36" s="9" t="inlineStr">
        <is>
          <t>江津区</t>
        </is>
      </c>
      <c r="C36" s="9" t="n">
        <v>8.82</v>
      </c>
      <c r="D36" s="9" t="n">
        <v>5.88</v>
      </c>
      <c r="E36" s="9" t="n">
        <v>1.47</v>
      </c>
      <c r="F36" s="9" t="n">
        <v>2.94</v>
      </c>
      <c r="G36" s="9" t="n">
        <v>1.47</v>
      </c>
      <c r="H36" s="9" t="n">
        <v>2.94</v>
      </c>
      <c r="I36" s="9" t="n">
        <v>13.24</v>
      </c>
      <c r="J36" s="9" t="n">
        <v>0</v>
      </c>
      <c r="K36" s="9" t="n">
        <v>0</v>
      </c>
      <c r="L36" s="9" t="n">
        <v>1.47</v>
      </c>
      <c r="M36" s="9" t="n">
        <v>7.35</v>
      </c>
      <c r="N36" s="9" t="n">
        <v>7.35</v>
      </c>
      <c r="O36" s="9" t="n">
        <v>20.59</v>
      </c>
      <c r="P36" s="9" t="n">
        <v>16.18</v>
      </c>
      <c r="Q36" s="9" t="n">
        <v>1.47</v>
      </c>
      <c r="R36" s="9" t="n">
        <v>8.82</v>
      </c>
      <c r="S36" s="9" t="n">
        <v>0.0257</v>
      </c>
      <c r="T36" s="9" t="n">
        <v>0.0037</v>
      </c>
      <c r="U36" s="9" t="n">
        <v>0.0478</v>
      </c>
      <c r="V36" s="9" t="n">
        <v>0.0331</v>
      </c>
      <c r="W36" s="9" t="n">
        <v>0.0478</v>
      </c>
      <c r="X36" s="9" t="n">
        <v>0.0331</v>
      </c>
      <c r="Y36" s="9" t="n">
        <v>0.0699</v>
      </c>
      <c r="Z36" s="9" t="n">
        <v>0.0625</v>
      </c>
      <c r="AA36" s="9" t="n">
        <v>0.0625</v>
      </c>
      <c r="AB36" s="9" t="n">
        <v>0.0478</v>
      </c>
      <c r="AC36" s="9" t="n">
        <v>0.011</v>
      </c>
      <c r="AD36" s="9" t="n">
        <v>0.011</v>
      </c>
      <c r="AE36" s="9" t="n">
        <v>0.1434</v>
      </c>
      <c r="AF36" s="9" t="n">
        <v>0.0993</v>
      </c>
      <c r="AG36" s="9" t="n">
        <v>0.0478</v>
      </c>
      <c r="AH36" s="9" t="n">
        <v>0.0257</v>
      </c>
      <c r="AI36" s="9" t="n">
        <v>0.7721</v>
      </c>
      <c r="AJ36" s="9" t="n">
        <v>1.2952</v>
      </c>
      <c r="AK36" s="9" t="n">
        <v>75.18000000000001</v>
      </c>
    </row>
    <row r="37">
      <c r="A37" s="8" t="n">
        <v>27</v>
      </c>
      <c r="B37" s="8" t="inlineStr">
        <is>
          <t>彭水县</t>
        </is>
      </c>
      <c r="C37" s="8" t="n">
        <v>4.35</v>
      </c>
      <c r="D37" s="8" t="n">
        <v>6.52</v>
      </c>
      <c r="E37" s="8" t="n">
        <v>4.35</v>
      </c>
      <c r="F37" s="8" t="n">
        <v>0</v>
      </c>
      <c r="G37" s="8" t="n">
        <v>0</v>
      </c>
      <c r="H37" s="8" t="n">
        <v>0</v>
      </c>
      <c r="I37" s="8" t="n">
        <v>19.57</v>
      </c>
      <c r="J37" s="8" t="n">
        <v>0</v>
      </c>
      <c r="K37" s="8" t="n">
        <v>6.52</v>
      </c>
      <c r="L37" s="8" t="n">
        <v>4.35</v>
      </c>
      <c r="M37" s="8" t="n">
        <v>15.22</v>
      </c>
      <c r="N37" s="8" t="n">
        <v>15.22</v>
      </c>
      <c r="O37" s="8" t="n">
        <v>13.04</v>
      </c>
      <c r="P37" s="8" t="n">
        <v>6.52</v>
      </c>
      <c r="Q37" s="8" t="n">
        <v>2.17</v>
      </c>
      <c r="R37" s="8" t="n">
        <v>2.17</v>
      </c>
      <c r="S37" s="8" t="n">
        <v>0.019</v>
      </c>
      <c r="T37" s="8" t="n">
        <v>0.0027</v>
      </c>
      <c r="U37" s="8" t="n">
        <v>0.019</v>
      </c>
      <c r="V37" s="8" t="n">
        <v>0.0625</v>
      </c>
      <c r="W37" s="8" t="n">
        <v>0.0625</v>
      </c>
      <c r="X37" s="8" t="n">
        <v>0.0625</v>
      </c>
      <c r="Y37" s="8" t="n">
        <v>0.1332</v>
      </c>
      <c r="Z37" s="8" t="n">
        <v>0.0625</v>
      </c>
      <c r="AA37" s="8" t="n">
        <v>0.0027</v>
      </c>
      <c r="AB37" s="8" t="n">
        <v>0.019</v>
      </c>
      <c r="AC37" s="8" t="n">
        <v>0.0897</v>
      </c>
      <c r="AD37" s="8" t="n">
        <v>0.0897</v>
      </c>
      <c r="AE37" s="8" t="n">
        <v>0.0679</v>
      </c>
      <c r="AF37" s="8" t="n">
        <v>0.0027</v>
      </c>
      <c r="AG37" s="8" t="n">
        <v>0.0408</v>
      </c>
      <c r="AH37" s="8" t="n">
        <v>0.0408</v>
      </c>
      <c r="AI37" s="8" t="n">
        <v>0.7772</v>
      </c>
      <c r="AJ37" s="8" t="n">
        <v>1.2867</v>
      </c>
      <c r="AK37" s="8" t="n">
        <v>74.98</v>
      </c>
    </row>
    <row r="38">
      <c r="A38" s="9" t="n">
        <v>28</v>
      </c>
      <c r="B38" s="9" t="inlineStr">
        <is>
          <t>南川区</t>
        </is>
      </c>
      <c r="C38" s="9" t="n">
        <v>4.65</v>
      </c>
      <c r="D38" s="9" t="n">
        <v>11.63</v>
      </c>
      <c r="E38" s="9" t="n">
        <v>0</v>
      </c>
      <c r="F38" s="9" t="n">
        <v>0</v>
      </c>
      <c r="G38" s="9" t="n">
        <v>4.65</v>
      </c>
      <c r="H38" s="9" t="n">
        <v>6.98</v>
      </c>
      <c r="I38" s="9" t="n">
        <v>4.65</v>
      </c>
      <c r="J38" s="9" t="n">
        <v>0</v>
      </c>
      <c r="K38" s="9" t="n">
        <v>2.33</v>
      </c>
      <c r="L38" s="9" t="n">
        <v>4.65</v>
      </c>
      <c r="M38" s="9" t="n">
        <v>18.6</v>
      </c>
      <c r="N38" s="9" t="n">
        <v>13.95</v>
      </c>
      <c r="O38" s="9" t="n">
        <v>16.28</v>
      </c>
      <c r="P38" s="9" t="n">
        <v>9.300000000000001</v>
      </c>
      <c r="Q38" s="9" t="n">
        <v>0</v>
      </c>
      <c r="R38" s="9" t="n">
        <v>2.33</v>
      </c>
      <c r="S38" s="9" t="n">
        <v>0.016</v>
      </c>
      <c r="T38" s="9" t="n">
        <v>0.0538</v>
      </c>
      <c r="U38" s="9" t="n">
        <v>0.0625</v>
      </c>
      <c r="V38" s="9" t="n">
        <v>0.0625</v>
      </c>
      <c r="W38" s="9" t="n">
        <v>0.016</v>
      </c>
      <c r="X38" s="9" t="n">
        <v>0.0073</v>
      </c>
      <c r="Y38" s="9" t="n">
        <v>0.016</v>
      </c>
      <c r="Z38" s="9" t="n">
        <v>0.0625</v>
      </c>
      <c r="AA38" s="9" t="n">
        <v>0.0392</v>
      </c>
      <c r="AB38" s="9" t="n">
        <v>0.016</v>
      </c>
      <c r="AC38" s="9" t="n">
        <v>0.1235</v>
      </c>
      <c r="AD38" s="9" t="n">
        <v>0.077</v>
      </c>
      <c r="AE38" s="9" t="n">
        <v>0.1003</v>
      </c>
      <c r="AF38" s="9" t="n">
        <v>0.0305</v>
      </c>
      <c r="AG38" s="9" t="n">
        <v>0.0625</v>
      </c>
      <c r="AH38" s="9" t="n">
        <v>0.0392</v>
      </c>
      <c r="AI38" s="9" t="n">
        <v>0.7849</v>
      </c>
      <c r="AJ38" s="9" t="n">
        <v>1.2741</v>
      </c>
      <c r="AK38" s="9" t="n">
        <v>74.68000000000001</v>
      </c>
    </row>
    <row r="39">
      <c r="A39" s="8" t="n">
        <v>29</v>
      </c>
      <c r="B39" s="8" t="inlineStr">
        <is>
          <t>石柱县</t>
        </is>
      </c>
      <c r="C39" s="8" t="n">
        <v>0</v>
      </c>
      <c r="D39" s="8" t="n">
        <v>14.58</v>
      </c>
      <c r="E39" s="8" t="n">
        <v>0</v>
      </c>
      <c r="F39" s="8" t="n">
        <v>2.08</v>
      </c>
      <c r="G39" s="8" t="n">
        <v>0</v>
      </c>
      <c r="H39" s="8" t="n">
        <v>8.33</v>
      </c>
      <c r="I39" s="8" t="n">
        <v>4.17</v>
      </c>
      <c r="J39" s="8" t="n">
        <v>6.25</v>
      </c>
      <c r="K39" s="8" t="n">
        <v>0</v>
      </c>
      <c r="L39" s="8" t="n">
        <v>2.08</v>
      </c>
      <c r="M39" s="8" t="n">
        <v>14.58</v>
      </c>
      <c r="N39" s="8" t="n">
        <v>14.58</v>
      </c>
      <c r="O39" s="8" t="n">
        <v>14.58</v>
      </c>
      <c r="P39" s="8" t="n">
        <v>10.42</v>
      </c>
      <c r="Q39" s="8" t="n">
        <v>2.08</v>
      </c>
      <c r="R39" s="8" t="n">
        <v>6.25</v>
      </c>
      <c r="S39" s="8" t="n">
        <v>0.0625</v>
      </c>
      <c r="T39" s="8" t="n">
        <v>0.0833</v>
      </c>
      <c r="U39" s="8" t="n">
        <v>0.0625</v>
      </c>
      <c r="V39" s="8" t="n">
        <v>0.0417</v>
      </c>
      <c r="W39" s="8" t="n">
        <v>0.0625</v>
      </c>
      <c r="X39" s="8" t="n">
        <v>0.0208</v>
      </c>
      <c r="Y39" s="8" t="n">
        <v>0.0208</v>
      </c>
      <c r="Z39" s="8" t="n">
        <v>0</v>
      </c>
      <c r="AA39" s="8" t="n">
        <v>0.0625</v>
      </c>
      <c r="AB39" s="8" t="n">
        <v>0.0417</v>
      </c>
      <c r="AC39" s="8" t="n">
        <v>0.0833</v>
      </c>
      <c r="AD39" s="8" t="n">
        <v>0.0833</v>
      </c>
      <c r="AE39" s="8" t="n">
        <v>0.0833</v>
      </c>
      <c r="AF39" s="8" t="n">
        <v>0.0417</v>
      </c>
      <c r="AG39" s="8" t="n">
        <v>0.0417</v>
      </c>
      <c r="AH39" s="8" t="n">
        <v>0</v>
      </c>
      <c r="AI39" s="8" t="n">
        <v>0.7917</v>
      </c>
      <c r="AJ39" s="8" t="n">
        <v>1.2632</v>
      </c>
      <c r="AK39" s="8" t="n">
        <v>74.42</v>
      </c>
    </row>
    <row r="40">
      <c r="A40" s="9" t="n">
        <v>30</v>
      </c>
      <c r="B40" s="9" t="inlineStr">
        <is>
          <t>潼南区</t>
        </is>
      </c>
      <c r="C40" s="9" t="n">
        <v>2.33</v>
      </c>
      <c r="D40" s="9" t="n">
        <v>13.95</v>
      </c>
      <c r="E40" s="9" t="n">
        <v>2.33</v>
      </c>
      <c r="F40" s="9" t="n">
        <v>0</v>
      </c>
      <c r="G40" s="9" t="n">
        <v>0</v>
      </c>
      <c r="H40" s="9" t="n">
        <v>16.28</v>
      </c>
      <c r="I40" s="9" t="n">
        <v>6.98</v>
      </c>
      <c r="J40" s="9" t="n">
        <v>9.300000000000001</v>
      </c>
      <c r="K40" s="9" t="n">
        <v>0</v>
      </c>
      <c r="L40" s="9" t="n">
        <v>2.33</v>
      </c>
      <c r="M40" s="9" t="n">
        <v>9.300000000000001</v>
      </c>
      <c r="N40" s="9" t="n">
        <v>4.65</v>
      </c>
      <c r="O40" s="9" t="n">
        <v>13.95</v>
      </c>
      <c r="P40" s="9" t="n">
        <v>13.95</v>
      </c>
      <c r="Q40" s="9" t="n">
        <v>2.33</v>
      </c>
      <c r="R40" s="9" t="n">
        <v>2.33</v>
      </c>
      <c r="S40" s="9" t="n">
        <v>0.0392</v>
      </c>
      <c r="T40" s="9" t="n">
        <v>0.077</v>
      </c>
      <c r="U40" s="9" t="n">
        <v>0.0392</v>
      </c>
      <c r="V40" s="9" t="n">
        <v>0.0625</v>
      </c>
      <c r="W40" s="9" t="n">
        <v>0.0625</v>
      </c>
      <c r="X40" s="9" t="n">
        <v>0.1003</v>
      </c>
      <c r="Y40" s="9" t="n">
        <v>0.0073</v>
      </c>
      <c r="Z40" s="9" t="n">
        <v>0.0305</v>
      </c>
      <c r="AA40" s="9" t="n">
        <v>0.0625</v>
      </c>
      <c r="AB40" s="9" t="n">
        <v>0.0392</v>
      </c>
      <c r="AC40" s="9" t="n">
        <v>0.0305</v>
      </c>
      <c r="AD40" s="9" t="n">
        <v>0.016</v>
      </c>
      <c r="AE40" s="9" t="n">
        <v>0.077</v>
      </c>
      <c r="AF40" s="9" t="n">
        <v>0.077</v>
      </c>
      <c r="AG40" s="9" t="n">
        <v>0.0392</v>
      </c>
      <c r="AH40" s="9" t="n">
        <v>0.0392</v>
      </c>
      <c r="AI40" s="9" t="n">
        <v>0.7994</v>
      </c>
      <c r="AJ40" s="9" t="n">
        <v>1.2509</v>
      </c>
      <c r="AK40" s="9" t="n">
        <v>74.13</v>
      </c>
    </row>
    <row r="41">
      <c r="A41" s="8" t="n">
        <v>31</v>
      </c>
      <c r="B41" s="8" t="inlineStr">
        <is>
          <t>綦江区</t>
        </is>
      </c>
      <c r="C41" s="8" t="n">
        <v>3.33</v>
      </c>
      <c r="D41" s="8" t="n">
        <v>6.67</v>
      </c>
      <c r="E41" s="8" t="n">
        <v>0</v>
      </c>
      <c r="F41" s="8" t="n">
        <v>0</v>
      </c>
      <c r="G41" s="8" t="n">
        <v>3.33</v>
      </c>
      <c r="H41" s="8" t="n">
        <v>6.67</v>
      </c>
      <c r="I41" s="8" t="n">
        <v>10</v>
      </c>
      <c r="J41" s="8" t="n">
        <v>0</v>
      </c>
      <c r="K41" s="8" t="n">
        <v>0</v>
      </c>
      <c r="L41" s="8" t="n">
        <v>0</v>
      </c>
      <c r="M41" s="8" t="n">
        <v>16.67</v>
      </c>
      <c r="N41" s="8" t="n">
        <v>10</v>
      </c>
      <c r="O41" s="8" t="n">
        <v>20</v>
      </c>
      <c r="P41" s="8" t="n">
        <v>13.33</v>
      </c>
      <c r="Q41" s="8" t="n">
        <v>3.33</v>
      </c>
      <c r="R41" s="8" t="n">
        <v>6.67</v>
      </c>
      <c r="S41" s="8" t="n">
        <v>0.0292</v>
      </c>
      <c r="T41" s="8" t="n">
        <v>0.0042</v>
      </c>
      <c r="U41" s="8" t="n">
        <v>0.0625</v>
      </c>
      <c r="V41" s="8" t="n">
        <v>0.0625</v>
      </c>
      <c r="W41" s="8" t="n">
        <v>0.0292</v>
      </c>
      <c r="X41" s="8" t="n">
        <v>0.0042</v>
      </c>
      <c r="Y41" s="8" t="n">
        <v>0.0375</v>
      </c>
      <c r="Z41" s="8" t="n">
        <v>0.0625</v>
      </c>
      <c r="AA41" s="8" t="n">
        <v>0.0625</v>
      </c>
      <c r="AB41" s="8" t="n">
        <v>0.0625</v>
      </c>
      <c r="AC41" s="8" t="n">
        <v>0.1042</v>
      </c>
      <c r="AD41" s="8" t="n">
        <v>0.0375</v>
      </c>
      <c r="AE41" s="8" t="n">
        <v>0.1375</v>
      </c>
      <c r="AF41" s="8" t="n">
        <v>0.0708</v>
      </c>
      <c r="AG41" s="8" t="n">
        <v>0.0292</v>
      </c>
      <c r="AH41" s="8" t="n">
        <v>0.0042</v>
      </c>
      <c r="AI41" s="8" t="n">
        <v>0.8</v>
      </c>
      <c r="AJ41" s="8" t="n">
        <v>1.25</v>
      </c>
      <c r="AK41" s="8" t="n">
        <v>74.11</v>
      </c>
    </row>
    <row r="42">
      <c r="A42" s="9" t="n">
        <v>32</v>
      </c>
      <c r="B42" s="9" t="inlineStr">
        <is>
          <t>大足区</t>
        </is>
      </c>
      <c r="C42" s="9" t="n">
        <v>0</v>
      </c>
      <c r="D42" s="9" t="n">
        <v>11.11</v>
      </c>
      <c r="E42" s="9" t="n">
        <v>0</v>
      </c>
      <c r="F42" s="9" t="n">
        <v>8.33</v>
      </c>
      <c r="G42" s="9" t="n">
        <v>0</v>
      </c>
      <c r="H42" s="9" t="n">
        <v>5.56</v>
      </c>
      <c r="I42" s="9" t="n">
        <v>5.56</v>
      </c>
      <c r="J42" s="9" t="n">
        <v>0</v>
      </c>
      <c r="K42" s="9" t="n">
        <v>0</v>
      </c>
      <c r="L42" s="9" t="n">
        <v>2.78</v>
      </c>
      <c r="M42" s="9" t="n">
        <v>16.67</v>
      </c>
      <c r="N42" s="9" t="n">
        <v>13.89</v>
      </c>
      <c r="O42" s="9" t="n">
        <v>13.89</v>
      </c>
      <c r="P42" s="9" t="n">
        <v>13.89</v>
      </c>
      <c r="Q42" s="9" t="n">
        <v>2.78</v>
      </c>
      <c r="R42" s="9" t="n">
        <v>5.56</v>
      </c>
      <c r="S42" s="9" t="n">
        <v>0.0625</v>
      </c>
      <c r="T42" s="9" t="n">
        <v>0.0486</v>
      </c>
      <c r="U42" s="9" t="n">
        <v>0.0625</v>
      </c>
      <c r="V42" s="9" t="n">
        <v>0.0208</v>
      </c>
      <c r="W42" s="9" t="n">
        <v>0.0625</v>
      </c>
      <c r="X42" s="9" t="n">
        <v>0.0069</v>
      </c>
      <c r="Y42" s="9" t="n">
        <v>0.0069</v>
      </c>
      <c r="Z42" s="9" t="n">
        <v>0.0625</v>
      </c>
      <c r="AA42" s="9" t="n">
        <v>0.0625</v>
      </c>
      <c r="AB42" s="9" t="n">
        <v>0.0347</v>
      </c>
      <c r="AC42" s="9" t="n">
        <v>0.1042</v>
      </c>
      <c r="AD42" s="9" t="n">
        <v>0.0764</v>
      </c>
      <c r="AE42" s="9" t="n">
        <v>0.0764</v>
      </c>
      <c r="AF42" s="9" t="n">
        <v>0.0764</v>
      </c>
      <c r="AG42" s="9" t="n">
        <v>0.0347</v>
      </c>
      <c r="AH42" s="9" t="n">
        <v>0.0069</v>
      </c>
      <c r="AI42" s="9" t="n">
        <v>0.8056</v>
      </c>
      <c r="AJ42" s="9" t="n">
        <v>1.2414</v>
      </c>
      <c r="AK42" s="9" t="n">
        <v>73.91</v>
      </c>
    </row>
    <row r="43">
      <c r="A43" s="8" t="n">
        <v>33</v>
      </c>
      <c r="B43" s="8" t="inlineStr">
        <is>
          <t>武隆区</t>
        </is>
      </c>
      <c r="C43" s="8" t="n">
        <v>0</v>
      </c>
      <c r="D43" s="8" t="n">
        <v>13.64</v>
      </c>
      <c r="E43" s="8" t="n">
        <v>0</v>
      </c>
      <c r="F43" s="8" t="n">
        <v>1.52</v>
      </c>
      <c r="G43" s="8" t="n">
        <v>3.03</v>
      </c>
      <c r="H43" s="8" t="n">
        <v>13.64</v>
      </c>
      <c r="I43" s="8" t="n">
        <v>0</v>
      </c>
      <c r="J43" s="8" t="n">
        <v>3.03</v>
      </c>
      <c r="K43" s="8" t="n">
        <v>4.55</v>
      </c>
      <c r="L43" s="8" t="n">
        <v>4.55</v>
      </c>
      <c r="M43" s="8" t="n">
        <v>22.73</v>
      </c>
      <c r="N43" s="8" t="n">
        <v>10.61</v>
      </c>
      <c r="O43" s="8" t="n">
        <v>9.09</v>
      </c>
      <c r="P43" s="8" t="n">
        <v>10.61</v>
      </c>
      <c r="Q43" s="8" t="n">
        <v>0</v>
      </c>
      <c r="R43" s="8" t="n">
        <v>3.03</v>
      </c>
      <c r="S43" s="8" t="n">
        <v>0.0625</v>
      </c>
      <c r="T43" s="8" t="n">
        <v>0.07389999999999999</v>
      </c>
      <c r="U43" s="8" t="n">
        <v>0.0625</v>
      </c>
      <c r="V43" s="8" t="n">
        <v>0.0473</v>
      </c>
      <c r="W43" s="8" t="n">
        <v>0.0322</v>
      </c>
      <c r="X43" s="8" t="n">
        <v>0.07389999999999999</v>
      </c>
      <c r="Y43" s="8" t="n">
        <v>0.0625</v>
      </c>
      <c r="Z43" s="8" t="n">
        <v>0.0322</v>
      </c>
      <c r="AA43" s="8" t="n">
        <v>0.017</v>
      </c>
      <c r="AB43" s="8" t="n">
        <v>0.017</v>
      </c>
      <c r="AC43" s="8" t="n">
        <v>0.1648</v>
      </c>
      <c r="AD43" s="8" t="n">
        <v>0.0436</v>
      </c>
      <c r="AE43" s="8" t="n">
        <v>0.0284</v>
      </c>
      <c r="AF43" s="8" t="n">
        <v>0.0436</v>
      </c>
      <c r="AG43" s="8" t="n">
        <v>0.0625</v>
      </c>
      <c r="AH43" s="8" t="n">
        <v>0.0322</v>
      </c>
      <c r="AI43" s="8" t="n">
        <v>0.8561</v>
      </c>
      <c r="AJ43" s="8" t="n">
        <v>1.1681</v>
      </c>
      <c r="AK43" s="8" t="n">
        <v>72.17</v>
      </c>
    </row>
    <row r="44">
      <c r="A44" s="9" t="n">
        <v>34</v>
      </c>
      <c r="B44" s="9" t="inlineStr">
        <is>
          <t>酉阳县</t>
        </is>
      </c>
      <c r="C44" s="9" t="n">
        <v>0</v>
      </c>
      <c r="D44" s="9" t="n">
        <v>5.26</v>
      </c>
      <c r="E44" s="9" t="n">
        <v>0</v>
      </c>
      <c r="F44" s="9" t="n">
        <v>5.26</v>
      </c>
      <c r="G44" s="9" t="n">
        <v>0</v>
      </c>
      <c r="H44" s="9" t="n">
        <v>0</v>
      </c>
      <c r="I44" s="9" t="n">
        <v>15.79</v>
      </c>
      <c r="J44" s="9" t="n">
        <v>0</v>
      </c>
      <c r="K44" s="9" t="n">
        <v>0</v>
      </c>
      <c r="L44" s="9" t="n">
        <v>10.53</v>
      </c>
      <c r="M44" s="9" t="n">
        <v>21.05</v>
      </c>
      <c r="N44" s="9" t="n">
        <v>21.05</v>
      </c>
      <c r="O44" s="9" t="n">
        <v>5.26</v>
      </c>
      <c r="P44" s="9" t="n">
        <v>5.26</v>
      </c>
      <c r="Q44" s="9" t="n">
        <v>5.26</v>
      </c>
      <c r="R44" s="9" t="n">
        <v>5.26</v>
      </c>
      <c r="S44" s="9" t="n">
        <v>0.0625</v>
      </c>
      <c r="T44" s="9" t="n">
        <v>0.009900000000000001</v>
      </c>
      <c r="U44" s="9" t="n">
        <v>0.0625</v>
      </c>
      <c r="V44" s="9" t="n">
        <v>0.009900000000000001</v>
      </c>
      <c r="W44" s="9" t="n">
        <v>0.0625</v>
      </c>
      <c r="X44" s="9" t="n">
        <v>0.0625</v>
      </c>
      <c r="Y44" s="9" t="n">
        <v>0.0954</v>
      </c>
      <c r="Z44" s="9" t="n">
        <v>0.0625</v>
      </c>
      <c r="AA44" s="9" t="n">
        <v>0.0625</v>
      </c>
      <c r="AB44" s="9" t="n">
        <v>0.0428</v>
      </c>
      <c r="AC44" s="9" t="n">
        <v>0.148</v>
      </c>
      <c r="AD44" s="9" t="n">
        <v>0.148</v>
      </c>
      <c r="AE44" s="9" t="n">
        <v>0.009900000000000001</v>
      </c>
      <c r="AF44" s="9" t="n">
        <v>0.009900000000000001</v>
      </c>
      <c r="AG44" s="9" t="n">
        <v>0.009900000000000001</v>
      </c>
      <c r="AH44" s="9" t="n">
        <v>0.009900000000000001</v>
      </c>
      <c r="AI44" s="9" t="n">
        <v>0.8683999999999999</v>
      </c>
      <c r="AJ44" s="9" t="n">
        <v>1.1515</v>
      </c>
      <c r="AK44" s="9" t="n">
        <v>71.77</v>
      </c>
    </row>
    <row r="45">
      <c r="A45" s="8" t="n">
        <v>35</v>
      </c>
      <c r="B45" s="8" t="inlineStr">
        <is>
          <t>奉节县</t>
        </is>
      </c>
      <c r="C45" s="8" t="n">
        <v>1.39</v>
      </c>
      <c r="D45" s="8" t="n">
        <v>6.94</v>
      </c>
      <c r="E45" s="8" t="n">
        <v>0</v>
      </c>
      <c r="F45" s="8" t="n">
        <v>1.39</v>
      </c>
      <c r="G45" s="8" t="n">
        <v>1.39</v>
      </c>
      <c r="H45" s="8" t="n">
        <v>11.11</v>
      </c>
      <c r="I45" s="8" t="n">
        <v>13.89</v>
      </c>
      <c r="J45" s="8" t="n">
        <v>0</v>
      </c>
      <c r="K45" s="8" t="n">
        <v>0</v>
      </c>
      <c r="L45" s="8" t="n">
        <v>0</v>
      </c>
      <c r="M45" s="8" t="n">
        <v>16.67</v>
      </c>
      <c r="N45" s="8" t="n">
        <v>13.89</v>
      </c>
      <c r="O45" s="8" t="n">
        <v>15.28</v>
      </c>
      <c r="P45" s="8" t="n">
        <v>5.56</v>
      </c>
      <c r="Q45" s="8" t="n">
        <v>1.39</v>
      </c>
      <c r="R45" s="8" t="n">
        <v>11.11</v>
      </c>
      <c r="S45" s="8" t="n">
        <v>0.0486</v>
      </c>
      <c r="T45" s="8" t="n">
        <v>0.0069</v>
      </c>
      <c r="U45" s="8" t="n">
        <v>0.0625</v>
      </c>
      <c r="V45" s="8" t="n">
        <v>0.0486</v>
      </c>
      <c r="W45" s="8" t="n">
        <v>0.0486</v>
      </c>
      <c r="X45" s="8" t="n">
        <v>0.0486</v>
      </c>
      <c r="Y45" s="8" t="n">
        <v>0.0764</v>
      </c>
      <c r="Z45" s="8" t="n">
        <v>0.0625</v>
      </c>
      <c r="AA45" s="8" t="n">
        <v>0.0625</v>
      </c>
      <c r="AB45" s="8" t="n">
        <v>0.0625</v>
      </c>
      <c r="AC45" s="8" t="n">
        <v>0.1042</v>
      </c>
      <c r="AD45" s="8" t="n">
        <v>0.0764</v>
      </c>
      <c r="AE45" s="8" t="n">
        <v>0.09030000000000001</v>
      </c>
      <c r="AF45" s="8" t="n">
        <v>0.0069</v>
      </c>
      <c r="AG45" s="8" t="n">
        <v>0.0486</v>
      </c>
      <c r="AH45" s="8" t="n">
        <v>0.0486</v>
      </c>
      <c r="AI45" s="8" t="n">
        <v>0.9028</v>
      </c>
      <c r="AJ45" s="8" t="n">
        <v>1.1077</v>
      </c>
      <c r="AK45" s="8" t="n">
        <v>70.73</v>
      </c>
    </row>
    <row r="46">
      <c r="A46" s="9" t="n">
        <v>36</v>
      </c>
      <c r="B46" s="9" t="inlineStr">
        <is>
          <t>荣昌区</t>
        </is>
      </c>
      <c r="C46" s="9" t="n">
        <v>2.78</v>
      </c>
      <c r="D46" s="9" t="n">
        <v>5.56</v>
      </c>
      <c r="E46" s="9" t="n">
        <v>2.78</v>
      </c>
      <c r="F46" s="9" t="n">
        <v>2.78</v>
      </c>
      <c r="G46" s="9" t="n">
        <v>0</v>
      </c>
      <c r="H46" s="9" t="n">
        <v>8.33</v>
      </c>
      <c r="I46" s="9" t="n">
        <v>2.78</v>
      </c>
      <c r="J46" s="9" t="n">
        <v>0</v>
      </c>
      <c r="K46" s="9" t="n">
        <v>0</v>
      </c>
      <c r="L46" s="9" t="n">
        <v>0</v>
      </c>
      <c r="M46" s="9" t="n">
        <v>27.78</v>
      </c>
      <c r="N46" s="9" t="n">
        <v>16.67</v>
      </c>
      <c r="O46" s="9" t="n">
        <v>19.44</v>
      </c>
      <c r="P46" s="9" t="n">
        <v>8.33</v>
      </c>
      <c r="Q46" s="9" t="n">
        <v>0</v>
      </c>
      <c r="R46" s="9" t="n">
        <v>2.78</v>
      </c>
      <c r="S46" s="9" t="n">
        <v>0.0347</v>
      </c>
      <c r="T46" s="9" t="n">
        <v>0.0069</v>
      </c>
      <c r="U46" s="9" t="n">
        <v>0.0347</v>
      </c>
      <c r="V46" s="9" t="n">
        <v>0.0347</v>
      </c>
      <c r="W46" s="9" t="n">
        <v>0.0625</v>
      </c>
      <c r="X46" s="9" t="n">
        <v>0.0208</v>
      </c>
      <c r="Y46" s="9" t="n">
        <v>0.0347</v>
      </c>
      <c r="Z46" s="9" t="n">
        <v>0.0625</v>
      </c>
      <c r="AA46" s="9" t="n">
        <v>0.0625</v>
      </c>
      <c r="AB46" s="9" t="n">
        <v>0.0625</v>
      </c>
      <c r="AC46" s="9" t="n">
        <v>0.2153</v>
      </c>
      <c r="AD46" s="9" t="n">
        <v>0.1042</v>
      </c>
      <c r="AE46" s="9" t="n">
        <v>0.1319</v>
      </c>
      <c r="AF46" s="9" t="n">
        <v>0.0208</v>
      </c>
      <c r="AG46" s="9" t="n">
        <v>0.0625</v>
      </c>
      <c r="AH46" s="9" t="n">
        <v>0.0347</v>
      </c>
      <c r="AI46" s="9" t="n">
        <v>0.9861</v>
      </c>
      <c r="AJ46" s="9" t="n">
        <v>1.0141</v>
      </c>
      <c r="AK46" s="9" t="n">
        <v>68.51000000000001</v>
      </c>
    </row>
    <row r="47">
      <c r="A47" s="8" t="n">
        <v>37</v>
      </c>
      <c r="B47" s="8" t="inlineStr">
        <is>
          <t>秀山县</t>
        </is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21.43</v>
      </c>
      <c r="J47" s="8" t="n">
        <v>0</v>
      </c>
      <c r="K47" s="8" t="n">
        <v>0</v>
      </c>
      <c r="L47" s="8" t="n">
        <v>14.29</v>
      </c>
      <c r="M47" s="8" t="n">
        <v>7.14</v>
      </c>
      <c r="N47" s="8" t="n">
        <v>14.29</v>
      </c>
      <c r="O47" s="8" t="n">
        <v>14.29</v>
      </c>
      <c r="P47" s="8" t="n">
        <v>14.29</v>
      </c>
      <c r="Q47" s="8" t="n">
        <v>7.14</v>
      </c>
      <c r="R47" s="8" t="n">
        <v>7.14</v>
      </c>
      <c r="S47" s="8" t="n">
        <v>0.0625</v>
      </c>
      <c r="T47" s="8" t="n">
        <v>0.0625</v>
      </c>
      <c r="U47" s="8" t="n">
        <v>0.0625</v>
      </c>
      <c r="V47" s="8" t="n">
        <v>0.0625</v>
      </c>
      <c r="W47" s="8" t="n">
        <v>0.0625</v>
      </c>
      <c r="X47" s="8" t="n">
        <v>0.0625</v>
      </c>
      <c r="Y47" s="8" t="n">
        <v>0.1518</v>
      </c>
      <c r="Z47" s="8" t="n">
        <v>0.0625</v>
      </c>
      <c r="AA47" s="8" t="n">
        <v>0.0625</v>
      </c>
      <c r="AB47" s="8" t="n">
        <v>0.0804</v>
      </c>
      <c r="AC47" s="8" t="n">
        <v>0.0089</v>
      </c>
      <c r="AD47" s="8" t="n">
        <v>0.0804</v>
      </c>
      <c r="AE47" s="8" t="n">
        <v>0.0804</v>
      </c>
      <c r="AF47" s="8" t="n">
        <v>0.0804</v>
      </c>
      <c r="AG47" s="8" t="n">
        <v>0.0089</v>
      </c>
      <c r="AH47" s="8" t="n">
        <v>0.0089</v>
      </c>
      <c r="AI47" s="8" t="n">
        <v>1</v>
      </c>
      <c r="AJ47" s="8" t="n">
        <v>1</v>
      </c>
      <c r="AK47" s="8" t="n">
        <v>68.18000000000001</v>
      </c>
    </row>
    <row r="48">
      <c r="A48" s="9" t="n">
        <v>38</v>
      </c>
      <c r="B48" s="9" t="inlineStr">
        <is>
          <t>垫江县</t>
        </is>
      </c>
      <c r="C48" s="9" t="n">
        <v>0</v>
      </c>
      <c r="D48" s="9" t="n">
        <v>0</v>
      </c>
      <c r="E48" s="9" t="n">
        <v>14.29</v>
      </c>
      <c r="F48" s="9" t="n">
        <v>0</v>
      </c>
      <c r="G48" s="9" t="n">
        <v>0</v>
      </c>
      <c r="H48" s="9" t="n">
        <v>14.29</v>
      </c>
      <c r="I48" s="9" t="n">
        <v>7.14</v>
      </c>
      <c r="J48" s="9" t="n">
        <v>0</v>
      </c>
      <c r="K48" s="9" t="n">
        <v>14.29</v>
      </c>
      <c r="L48" s="9" t="n">
        <v>7.14</v>
      </c>
      <c r="M48" s="9" t="n">
        <v>28.57</v>
      </c>
      <c r="N48" s="9" t="n">
        <v>7.14</v>
      </c>
      <c r="O48" s="9" t="n">
        <v>7.14</v>
      </c>
      <c r="P48" s="9" t="n">
        <v>0</v>
      </c>
      <c r="Q48" s="9" t="n">
        <v>0</v>
      </c>
      <c r="R48" s="9" t="n">
        <v>0</v>
      </c>
      <c r="S48" s="9" t="n">
        <v>0.0625</v>
      </c>
      <c r="T48" s="9" t="n">
        <v>0.0625</v>
      </c>
      <c r="U48" s="9" t="n">
        <v>0.0804</v>
      </c>
      <c r="V48" s="9" t="n">
        <v>0.0625</v>
      </c>
      <c r="W48" s="9" t="n">
        <v>0.0625</v>
      </c>
      <c r="X48" s="9" t="n">
        <v>0.0804</v>
      </c>
      <c r="Y48" s="9" t="n">
        <v>0.0089</v>
      </c>
      <c r="Z48" s="9" t="n">
        <v>0.0625</v>
      </c>
      <c r="AA48" s="9" t="n">
        <v>0.0804</v>
      </c>
      <c r="AB48" s="9" t="n">
        <v>0.0089</v>
      </c>
      <c r="AC48" s="9" t="n">
        <v>0.2232</v>
      </c>
      <c r="AD48" s="9" t="n">
        <v>0.0089</v>
      </c>
      <c r="AE48" s="9" t="n">
        <v>0.0089</v>
      </c>
      <c r="AF48" s="9" t="n">
        <v>0.0625</v>
      </c>
      <c r="AG48" s="9" t="n">
        <v>0.0625</v>
      </c>
      <c r="AH48" s="9" t="n">
        <v>0.0625</v>
      </c>
      <c r="AI48" s="9" t="n">
        <v>1</v>
      </c>
      <c r="AJ48" s="9" t="n">
        <v>1</v>
      </c>
      <c r="AK48" s="9" t="n">
        <v>68.18000000000001</v>
      </c>
    </row>
    <row r="49">
      <c r="A49" s="8" t="n">
        <v>39</v>
      </c>
      <c r="B49" s="8" t="inlineStr">
        <is>
          <t>科学城重庆高新区</t>
        </is>
      </c>
      <c r="C49" s="8" t="n">
        <v>0</v>
      </c>
      <c r="D49" s="8" t="n">
        <v>0</v>
      </c>
      <c r="E49" s="8" t="n">
        <v>0</v>
      </c>
      <c r="F49" s="8" t="n">
        <v>5.88</v>
      </c>
      <c r="G49" s="8" t="n">
        <v>0</v>
      </c>
      <c r="H49" s="8" t="n">
        <v>0</v>
      </c>
      <c r="I49" s="8" t="n">
        <v>5.88</v>
      </c>
      <c r="J49" s="8" t="n">
        <v>0</v>
      </c>
      <c r="K49" s="8" t="n">
        <v>0</v>
      </c>
      <c r="L49" s="8" t="n">
        <v>5.88</v>
      </c>
      <c r="M49" s="8" t="n">
        <v>29.41</v>
      </c>
      <c r="N49" s="8" t="n">
        <v>23.53</v>
      </c>
      <c r="O49" s="8" t="n">
        <v>23.53</v>
      </c>
      <c r="P49" s="8" t="n">
        <v>0</v>
      </c>
      <c r="Q49" s="8" t="n">
        <v>0</v>
      </c>
      <c r="R49" s="8" t="n">
        <v>5.88</v>
      </c>
      <c r="S49" s="8" t="n">
        <v>0.0625</v>
      </c>
      <c r="T49" s="8" t="n">
        <v>0.0625</v>
      </c>
      <c r="U49" s="8" t="n">
        <v>0.0625</v>
      </c>
      <c r="V49" s="8" t="n">
        <v>0.0037</v>
      </c>
      <c r="W49" s="8" t="n">
        <v>0.0625</v>
      </c>
      <c r="X49" s="8" t="n">
        <v>0.0625</v>
      </c>
      <c r="Y49" s="8" t="n">
        <v>0.0037</v>
      </c>
      <c r="Z49" s="8" t="n">
        <v>0.0625</v>
      </c>
      <c r="AA49" s="8" t="n">
        <v>0.0625</v>
      </c>
      <c r="AB49" s="8" t="n">
        <v>0.0037</v>
      </c>
      <c r="AC49" s="8" t="n">
        <v>0.2316</v>
      </c>
      <c r="AD49" s="8" t="n">
        <v>0.1728</v>
      </c>
      <c r="AE49" s="8" t="n">
        <v>0.1728</v>
      </c>
      <c r="AF49" s="8" t="n">
        <v>0.0625</v>
      </c>
      <c r="AG49" s="8" t="n">
        <v>0.0625</v>
      </c>
      <c r="AH49" s="8" t="n">
        <v>0.0037</v>
      </c>
      <c r="AI49" s="8" t="n">
        <v>1.1544</v>
      </c>
      <c r="AJ49" s="8" t="n">
        <v>0.8662</v>
      </c>
      <c r="AK49" s="8" t="n">
        <v>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20" customWidth="1" min="5" max="5"/>
    <col width="18" customWidth="1" min="6" max="6"/>
  </cols>
  <sheetData>
    <row r="1">
      <c r="A1" s="5" t="inlineStr">
        <is>
          <t>衡量指标</t>
        </is>
      </c>
      <c r="B1" s="6" t="inlineStr">
        <is>
          <t>行业媒体-报道传播速度</t>
        </is>
      </c>
    </row>
    <row r="2">
      <c r="A2" s="5" t="inlineStr">
        <is>
          <t>一级权重</t>
        </is>
      </c>
      <c r="B2" s="6" t="inlineStr">
        <is>
          <t>25%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中环报 + 美丽重庆 2 家</t>
        </is>
      </c>
    </row>
    <row r="5">
      <c r="A5" s="5" t="inlineStr">
        <is>
          <t>公式</t>
        </is>
      </c>
      <c r="B5" s="6" t="inlineStr">
        <is>
          <t>freq = 报道总数 / 发布天数(COUNT DISTINCT YYYY-MM-DD)</t>
        </is>
      </c>
    </row>
    <row r="6">
      <c r="A6" s="5" t="inlineStr">
        <is>
          <t>举例</t>
        </is>
      </c>
      <c r="B6" s="6" t="inlineStr">
        <is>
          <t>如某区某 tier 60 篇报道,分布在 30 个不同日期 → freq=60/30=2.0 篇/天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按速度原始值降序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报道总数</t>
        </is>
      </c>
      <c r="D10" s="7" t="inlineStr">
        <is>
          <t>发布天数</t>
        </is>
      </c>
      <c r="E10" s="7" t="inlineStr">
        <is>
          <t>速度原始 (报道/天)</t>
        </is>
      </c>
      <c r="F10" s="7" t="inlineStr">
        <is>
          <t>速度得分 (65-95)</t>
        </is>
      </c>
    </row>
    <row r="11">
      <c r="A11" s="8" t="n">
        <v>1</v>
      </c>
      <c r="B11" s="8" t="inlineStr">
        <is>
          <t>科学城重庆高新区</t>
        </is>
      </c>
      <c r="C11" s="8" t="n">
        <v>7</v>
      </c>
      <c r="D11" s="8" t="n">
        <v>5</v>
      </c>
      <c r="E11" s="8" t="n">
        <v>1.4</v>
      </c>
      <c r="F11" s="8" t="n">
        <v>95</v>
      </c>
    </row>
    <row r="12">
      <c r="A12" s="9" t="n">
        <v>2</v>
      </c>
      <c r="B12" s="9" t="inlineStr">
        <is>
          <t>城口县</t>
        </is>
      </c>
      <c r="C12" s="9" t="n">
        <v>15</v>
      </c>
      <c r="D12" s="9" t="n">
        <v>11</v>
      </c>
      <c r="E12" s="9" t="n">
        <v>1.3636</v>
      </c>
      <c r="F12" s="9" t="n">
        <v>92.27</v>
      </c>
    </row>
    <row r="13">
      <c r="A13" s="8" t="n">
        <v>3</v>
      </c>
      <c r="B13" s="8" t="inlineStr">
        <is>
          <t>北碚区</t>
        </is>
      </c>
      <c r="C13" s="8" t="n">
        <v>45</v>
      </c>
      <c r="D13" s="8" t="n">
        <v>34</v>
      </c>
      <c r="E13" s="8" t="n">
        <v>1.3235</v>
      </c>
      <c r="F13" s="8" t="n">
        <v>89.26000000000001</v>
      </c>
    </row>
    <row r="14">
      <c r="A14" s="9" t="n">
        <v>4</v>
      </c>
      <c r="B14" s="9" t="inlineStr">
        <is>
          <t>两江新区</t>
        </is>
      </c>
      <c r="C14" s="9" t="n">
        <v>59</v>
      </c>
      <c r="D14" s="9" t="n">
        <v>45</v>
      </c>
      <c r="E14" s="9" t="n">
        <v>1.3111</v>
      </c>
      <c r="F14" s="9" t="n">
        <v>88.33</v>
      </c>
    </row>
    <row r="15">
      <c r="A15" s="8" t="n">
        <v>5</v>
      </c>
      <c r="B15" s="8" t="inlineStr">
        <is>
          <t>南岸区</t>
        </is>
      </c>
      <c r="C15" s="8" t="n">
        <v>38</v>
      </c>
      <c r="D15" s="8" t="n">
        <v>29</v>
      </c>
      <c r="E15" s="8" t="n">
        <v>1.3103</v>
      </c>
      <c r="F15" s="8" t="n">
        <v>88.28</v>
      </c>
    </row>
    <row r="16">
      <c r="A16" s="9" t="n">
        <v>6</v>
      </c>
      <c r="B16" s="9" t="inlineStr">
        <is>
          <t>万州区</t>
        </is>
      </c>
      <c r="C16" s="9" t="n">
        <v>37</v>
      </c>
      <c r="D16" s="9" t="n">
        <v>29</v>
      </c>
      <c r="E16" s="9" t="n">
        <v>1.2759</v>
      </c>
      <c r="F16" s="9" t="n">
        <v>85.69</v>
      </c>
    </row>
    <row r="17">
      <c r="A17" s="8" t="n">
        <v>7</v>
      </c>
      <c r="B17" s="8" t="inlineStr">
        <is>
          <t>武隆区</t>
        </is>
      </c>
      <c r="C17" s="8" t="n">
        <v>24</v>
      </c>
      <c r="D17" s="8" t="n">
        <v>19</v>
      </c>
      <c r="E17" s="8" t="n">
        <v>1.2632</v>
      </c>
      <c r="F17" s="8" t="n">
        <v>84.73999999999999</v>
      </c>
    </row>
    <row r="18">
      <c r="A18" s="9" t="n">
        <v>8</v>
      </c>
      <c r="B18" s="9" t="inlineStr">
        <is>
          <t>石柱县</t>
        </is>
      </c>
      <c r="C18" s="9" t="n">
        <v>20</v>
      </c>
      <c r="D18" s="9" t="n">
        <v>16</v>
      </c>
      <c r="E18" s="9" t="n">
        <v>1.25</v>
      </c>
      <c r="F18" s="9" t="n">
        <v>83.75</v>
      </c>
    </row>
    <row r="19">
      <c r="A19" s="8" t="n">
        <v>9</v>
      </c>
      <c r="B19" s="8" t="inlineStr">
        <is>
          <t>永川区</t>
        </is>
      </c>
      <c r="C19" s="8" t="n">
        <v>26</v>
      </c>
      <c r="D19" s="8" t="n">
        <v>21</v>
      </c>
      <c r="E19" s="8" t="n">
        <v>1.2381</v>
      </c>
      <c r="F19" s="8" t="n">
        <v>82.86</v>
      </c>
    </row>
    <row r="20">
      <c r="A20" s="9" t="n">
        <v>10</v>
      </c>
      <c r="B20" s="9" t="inlineStr">
        <is>
          <t>忠县</t>
        </is>
      </c>
      <c r="C20" s="9" t="n">
        <v>17</v>
      </c>
      <c r="D20" s="9" t="n">
        <v>14</v>
      </c>
      <c r="E20" s="9" t="n">
        <v>1.2143</v>
      </c>
      <c r="F20" s="9" t="n">
        <v>81.06999999999999</v>
      </c>
    </row>
    <row r="21">
      <c r="A21" s="8" t="n">
        <v>11</v>
      </c>
      <c r="B21" s="8" t="inlineStr">
        <is>
          <t>涪陵区</t>
        </is>
      </c>
      <c r="C21" s="8" t="n">
        <v>29</v>
      </c>
      <c r="D21" s="8" t="n">
        <v>24</v>
      </c>
      <c r="E21" s="8" t="n">
        <v>1.2083</v>
      </c>
      <c r="F21" s="8" t="n">
        <v>80.62</v>
      </c>
    </row>
    <row r="22">
      <c r="A22" s="9" t="n">
        <v>12</v>
      </c>
      <c r="B22" s="9" t="inlineStr">
        <is>
          <t>开州区</t>
        </is>
      </c>
      <c r="C22" s="9" t="n">
        <v>29</v>
      </c>
      <c r="D22" s="9" t="n">
        <v>24</v>
      </c>
      <c r="E22" s="9" t="n">
        <v>1.2083</v>
      </c>
      <c r="F22" s="9" t="n">
        <v>80.62</v>
      </c>
    </row>
    <row r="23">
      <c r="A23" s="8" t="n">
        <v>13</v>
      </c>
      <c r="B23" s="8" t="inlineStr">
        <is>
          <t>云阳县</t>
        </is>
      </c>
      <c r="C23" s="8" t="n">
        <v>18</v>
      </c>
      <c r="D23" s="8" t="n">
        <v>15</v>
      </c>
      <c r="E23" s="8" t="n">
        <v>1.2</v>
      </c>
      <c r="F23" s="8" t="n">
        <v>80</v>
      </c>
    </row>
    <row r="24">
      <c r="A24" s="9" t="n">
        <v>14</v>
      </c>
      <c r="B24" s="9" t="inlineStr">
        <is>
          <t>渝中区</t>
        </is>
      </c>
      <c r="C24" s="9" t="n">
        <v>43</v>
      </c>
      <c r="D24" s="9" t="n">
        <v>36</v>
      </c>
      <c r="E24" s="9" t="n">
        <v>1.1944</v>
      </c>
      <c r="F24" s="9" t="n">
        <v>79.58</v>
      </c>
    </row>
    <row r="25">
      <c r="A25" s="8" t="n">
        <v>15</v>
      </c>
      <c r="B25" s="8" t="inlineStr">
        <is>
          <t>万盛经开区</t>
        </is>
      </c>
      <c r="C25" s="8" t="n">
        <v>19</v>
      </c>
      <c r="D25" s="8" t="n">
        <v>16</v>
      </c>
      <c r="E25" s="8" t="n">
        <v>1.1875</v>
      </c>
      <c r="F25" s="8" t="n">
        <v>79.06</v>
      </c>
    </row>
    <row r="26">
      <c r="A26" s="9" t="n">
        <v>16</v>
      </c>
      <c r="B26" s="9" t="inlineStr">
        <is>
          <t>奉节县</t>
        </is>
      </c>
      <c r="C26" s="9" t="n">
        <v>26</v>
      </c>
      <c r="D26" s="9" t="n">
        <v>22</v>
      </c>
      <c r="E26" s="9" t="n">
        <v>1.1818</v>
      </c>
      <c r="F26" s="9" t="n">
        <v>78.64</v>
      </c>
    </row>
    <row r="27">
      <c r="A27" s="8" t="n">
        <v>17</v>
      </c>
      <c r="B27" s="8" t="inlineStr">
        <is>
          <t>秀山县</t>
        </is>
      </c>
      <c r="C27" s="8" t="n">
        <v>8</v>
      </c>
      <c r="D27" s="8" t="n">
        <v>7</v>
      </c>
      <c r="E27" s="8" t="n">
        <v>1.1429</v>
      </c>
      <c r="F27" s="8" t="n">
        <v>75.70999999999999</v>
      </c>
    </row>
    <row r="28">
      <c r="A28" s="9" t="n">
        <v>18</v>
      </c>
      <c r="B28" s="9" t="inlineStr">
        <is>
          <t>沙坪坝区</t>
        </is>
      </c>
      <c r="C28" s="9" t="n">
        <v>24</v>
      </c>
      <c r="D28" s="9" t="n">
        <v>21</v>
      </c>
      <c r="E28" s="9" t="n">
        <v>1.1429</v>
      </c>
      <c r="F28" s="9" t="n">
        <v>75.70999999999999</v>
      </c>
    </row>
    <row r="29">
      <c r="A29" s="8" t="n">
        <v>19</v>
      </c>
      <c r="B29" s="8" t="inlineStr">
        <is>
          <t>梁平区</t>
        </is>
      </c>
      <c r="C29" s="8" t="n">
        <v>25</v>
      </c>
      <c r="D29" s="8" t="n">
        <v>22</v>
      </c>
      <c r="E29" s="8" t="n">
        <v>1.1364</v>
      </c>
      <c r="F29" s="8" t="n">
        <v>75.23</v>
      </c>
    </row>
    <row r="30">
      <c r="A30" s="9" t="n">
        <v>20</v>
      </c>
      <c r="B30" s="9" t="inlineStr">
        <is>
          <t>潼南区</t>
        </is>
      </c>
      <c r="C30" s="9" t="n">
        <v>17</v>
      </c>
      <c r="D30" s="9" t="n">
        <v>15</v>
      </c>
      <c r="E30" s="9" t="n">
        <v>1.1333</v>
      </c>
      <c r="F30" s="9" t="n">
        <v>75</v>
      </c>
    </row>
    <row r="31">
      <c r="A31" s="8" t="n">
        <v>21</v>
      </c>
      <c r="B31" s="8" t="inlineStr">
        <is>
          <t>巫山县</t>
        </is>
      </c>
      <c r="C31" s="8" t="n">
        <v>18</v>
      </c>
      <c r="D31" s="8" t="n">
        <v>16</v>
      </c>
      <c r="E31" s="8" t="n">
        <v>1.125</v>
      </c>
      <c r="F31" s="8" t="n">
        <v>74.38</v>
      </c>
    </row>
    <row r="32">
      <c r="A32" s="9" t="n">
        <v>22</v>
      </c>
      <c r="B32" s="9" t="inlineStr">
        <is>
          <t>九龙坡区</t>
        </is>
      </c>
      <c r="C32" s="9" t="n">
        <v>18</v>
      </c>
      <c r="D32" s="9" t="n">
        <v>16</v>
      </c>
      <c r="E32" s="9" t="n">
        <v>1.125</v>
      </c>
      <c r="F32" s="9" t="n">
        <v>74.38</v>
      </c>
    </row>
    <row r="33">
      <c r="A33" s="8" t="n">
        <v>23</v>
      </c>
      <c r="B33" s="8" t="inlineStr">
        <is>
          <t>铜梁区</t>
        </is>
      </c>
      <c r="C33" s="8" t="n">
        <v>29</v>
      </c>
      <c r="D33" s="8" t="n">
        <v>26</v>
      </c>
      <c r="E33" s="8" t="n">
        <v>1.1154</v>
      </c>
      <c r="F33" s="8" t="n">
        <v>73.65000000000001</v>
      </c>
    </row>
    <row r="34">
      <c r="A34" s="9" t="n">
        <v>24</v>
      </c>
      <c r="B34" s="9" t="inlineStr">
        <is>
          <t>江津区</t>
        </is>
      </c>
      <c r="C34" s="9" t="n">
        <v>21</v>
      </c>
      <c r="D34" s="9" t="n">
        <v>19</v>
      </c>
      <c r="E34" s="9" t="n">
        <v>1.1053</v>
      </c>
      <c r="F34" s="9" t="n">
        <v>72.89</v>
      </c>
    </row>
    <row r="35">
      <c r="A35" s="8" t="n">
        <v>25</v>
      </c>
      <c r="B35" s="8" t="inlineStr">
        <is>
          <t>彭水县</t>
        </is>
      </c>
      <c r="C35" s="8" t="n">
        <v>11</v>
      </c>
      <c r="D35" s="8" t="n">
        <v>10</v>
      </c>
      <c r="E35" s="8" t="n">
        <v>1.1</v>
      </c>
      <c r="F35" s="8" t="n">
        <v>72.5</v>
      </c>
    </row>
    <row r="36">
      <c r="A36" s="9" t="n">
        <v>26</v>
      </c>
      <c r="B36" s="9" t="inlineStr">
        <is>
          <t>大渡口区</t>
        </is>
      </c>
      <c r="C36" s="9" t="n">
        <v>13</v>
      </c>
      <c r="D36" s="9" t="n">
        <v>12</v>
      </c>
      <c r="E36" s="9" t="n">
        <v>1.0833</v>
      </c>
      <c r="F36" s="9" t="n">
        <v>71.25</v>
      </c>
    </row>
    <row r="37">
      <c r="A37" s="8" t="n">
        <v>27</v>
      </c>
      <c r="B37" s="8" t="inlineStr">
        <is>
          <t>南川区</t>
        </is>
      </c>
      <c r="C37" s="8" t="n">
        <v>15</v>
      </c>
      <c r="D37" s="8" t="n">
        <v>14</v>
      </c>
      <c r="E37" s="8" t="n">
        <v>1.0714</v>
      </c>
      <c r="F37" s="8" t="n">
        <v>70.36</v>
      </c>
    </row>
    <row r="38">
      <c r="A38" s="9" t="n">
        <v>28</v>
      </c>
      <c r="B38" s="9" t="inlineStr">
        <is>
          <t>大足区</t>
        </is>
      </c>
      <c r="C38" s="9" t="n">
        <v>15</v>
      </c>
      <c r="D38" s="9" t="n">
        <v>14</v>
      </c>
      <c r="E38" s="9" t="n">
        <v>1.0714</v>
      </c>
      <c r="F38" s="9" t="n">
        <v>70.36</v>
      </c>
    </row>
    <row r="39">
      <c r="A39" s="8" t="n">
        <v>29</v>
      </c>
      <c r="B39" s="8" t="inlineStr">
        <is>
          <t>合川区</t>
        </is>
      </c>
      <c r="C39" s="8" t="n">
        <v>16</v>
      </c>
      <c r="D39" s="8" t="n">
        <v>15</v>
      </c>
      <c r="E39" s="8" t="n">
        <v>1.0667</v>
      </c>
      <c r="F39" s="8" t="n">
        <v>70</v>
      </c>
    </row>
    <row r="40">
      <c r="A40" s="9" t="n">
        <v>30</v>
      </c>
      <c r="B40" s="9" t="inlineStr">
        <is>
          <t>黔江区</t>
        </is>
      </c>
      <c r="C40" s="9" t="n">
        <v>17</v>
      </c>
      <c r="D40" s="9" t="n">
        <v>16</v>
      </c>
      <c r="E40" s="9" t="n">
        <v>1.0625</v>
      </c>
      <c r="F40" s="9" t="n">
        <v>69.69</v>
      </c>
    </row>
    <row r="41">
      <c r="A41" s="8" t="n">
        <v>31</v>
      </c>
      <c r="B41" s="8" t="inlineStr">
        <is>
          <t>巴南区</t>
        </is>
      </c>
      <c r="C41" s="8" t="n">
        <v>24</v>
      </c>
      <c r="D41" s="8" t="n">
        <v>23</v>
      </c>
      <c r="E41" s="8" t="n">
        <v>1.0435</v>
      </c>
      <c r="F41" s="8" t="n">
        <v>68.26000000000001</v>
      </c>
    </row>
    <row r="42">
      <c r="A42" s="9" t="n">
        <v>32</v>
      </c>
      <c r="B42" s="9" t="inlineStr">
        <is>
          <t>长寿区</t>
        </is>
      </c>
      <c r="C42" s="9" t="n">
        <v>25</v>
      </c>
      <c r="D42" s="9" t="n">
        <v>24</v>
      </c>
      <c r="E42" s="9" t="n">
        <v>1.0417</v>
      </c>
      <c r="F42" s="9" t="n">
        <v>68.12</v>
      </c>
    </row>
    <row r="43">
      <c r="A43" s="8" t="n">
        <v>33</v>
      </c>
      <c r="B43" s="8" t="inlineStr">
        <is>
          <t>巫溪县</t>
        </is>
      </c>
      <c r="C43" s="8" t="n">
        <v>7</v>
      </c>
      <c r="D43" s="8" t="n">
        <v>7</v>
      </c>
      <c r="E43" s="8" t="n">
        <v>1</v>
      </c>
      <c r="F43" s="8" t="n">
        <v>65</v>
      </c>
    </row>
    <row r="44">
      <c r="A44" s="9" t="n">
        <v>34</v>
      </c>
      <c r="B44" s="9" t="inlineStr">
        <is>
          <t>酉阳县</t>
        </is>
      </c>
      <c r="C44" s="9" t="n">
        <v>7</v>
      </c>
      <c r="D44" s="9" t="n">
        <v>7</v>
      </c>
      <c r="E44" s="9" t="n">
        <v>1</v>
      </c>
      <c r="F44" s="9" t="n">
        <v>65</v>
      </c>
    </row>
    <row r="45">
      <c r="A45" s="8" t="n">
        <v>35</v>
      </c>
      <c r="B45" s="8" t="inlineStr">
        <is>
          <t>綦江区</t>
        </is>
      </c>
      <c r="C45" s="8" t="n">
        <v>11</v>
      </c>
      <c r="D45" s="8" t="n">
        <v>11</v>
      </c>
      <c r="E45" s="8" t="n">
        <v>1</v>
      </c>
      <c r="F45" s="8" t="n">
        <v>65</v>
      </c>
    </row>
    <row r="46">
      <c r="A46" s="9" t="n">
        <v>36</v>
      </c>
      <c r="B46" s="9" t="inlineStr">
        <is>
          <t>荣昌区</t>
        </is>
      </c>
      <c r="C46" s="9" t="n">
        <v>16</v>
      </c>
      <c r="D46" s="9" t="n">
        <v>16</v>
      </c>
      <c r="E46" s="9" t="n">
        <v>1</v>
      </c>
      <c r="F46" s="9" t="n">
        <v>65</v>
      </c>
    </row>
    <row r="47">
      <c r="A47" s="8" t="n">
        <v>37</v>
      </c>
      <c r="B47" s="8" t="inlineStr">
        <is>
          <t>丰都县</t>
        </is>
      </c>
      <c r="C47" s="8" t="n">
        <v>17</v>
      </c>
      <c r="D47" s="8" t="n">
        <v>17</v>
      </c>
      <c r="E47" s="8" t="n">
        <v>1</v>
      </c>
      <c r="F47" s="8" t="n">
        <v>65</v>
      </c>
    </row>
    <row r="48">
      <c r="A48" s="9" t="n">
        <v>38</v>
      </c>
      <c r="B48" s="9" t="inlineStr">
        <is>
          <t>璧山区</t>
        </is>
      </c>
      <c r="C48" s="9" t="n">
        <v>9</v>
      </c>
      <c r="D48" s="9" t="n">
        <v>9</v>
      </c>
      <c r="E48" s="9" t="n">
        <v>1</v>
      </c>
      <c r="F48" s="9" t="n">
        <v>65</v>
      </c>
    </row>
    <row r="49">
      <c r="A49" s="8" t="n">
        <v>39</v>
      </c>
      <c r="B49" s="8" t="inlineStr">
        <is>
          <t>垫江县</t>
        </is>
      </c>
      <c r="C49" s="8" t="n">
        <v>4</v>
      </c>
      <c r="D49" s="8" t="n">
        <v>4</v>
      </c>
      <c r="E49" s="8" t="n">
        <v>1</v>
      </c>
      <c r="F49" s="8" t="n">
        <v>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8" customWidth="1" min="20" max="20"/>
  </cols>
  <sheetData>
    <row r="1">
      <c r="A1" s="5" t="inlineStr">
        <is>
          <t>衡量指标</t>
        </is>
      </c>
      <c r="B1" s="6" t="inlineStr">
        <is>
          <t>市级媒体-报道数量</t>
        </is>
      </c>
    </row>
    <row r="2">
      <c r="A2" s="5" t="inlineStr">
        <is>
          <t>一级权重</t>
        </is>
      </c>
      <c r="B2" s="6" t="inlineStr">
        <is>
          <t>15%</t>
        </is>
      </c>
    </row>
    <row r="3">
      <c r="A3" s="5" t="inlineStr">
        <is>
          <t>二级权重</t>
        </is>
      </c>
      <c r="B3" s="6" t="inlineStr">
        <is>
          <t>40%</t>
        </is>
      </c>
    </row>
    <row r="4">
      <c r="A4" s="5" t="inlineStr">
        <is>
          <t>数据源</t>
        </is>
      </c>
      <c r="B4" s="6" t="inlineStr">
        <is>
          <t>已严格收敛: 上游/华龙/视界网/重庆日报/ichongqing/七一网 6 家</t>
        </is>
      </c>
    </row>
    <row r="5">
      <c r="A5" s="5" t="inlineStr">
        <is>
          <t>过滤条件</t>
        </is>
      </c>
      <c r="B5" s="6" t="inlineStr">
        <is>
          <t>organization_id ; published_at ∈ [2025-01-01, 2026-01-01) ; 有 outlet_id</t>
        </is>
      </c>
    </row>
    <row r="6">
      <c r="A6" s="5" t="inlineStr">
        <is>
          <t>原始值</t>
        </is>
      </c>
      <c r="B6" s="6" t="inlineStr">
        <is>
          <t>COUNT(DISTINCT collected_item_id) per (区县, tier) ; 按 16 主题分桶各显示命中数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按报道总数降序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</t>
        </is>
      </c>
      <c r="D10" s="7" t="inlineStr">
        <is>
          <t>制度建设</t>
        </is>
      </c>
      <c r="E10" s="7" t="inlineStr">
        <is>
          <t>双碳</t>
        </is>
      </c>
      <c r="F10" s="7" t="inlineStr">
        <is>
          <t>和谐共生</t>
        </is>
      </c>
      <c r="G10" s="7" t="inlineStr">
        <is>
          <t>国家公园</t>
        </is>
      </c>
      <c r="H10" s="7" t="inlineStr">
        <is>
          <t>污染防治攻坚战</t>
        </is>
      </c>
      <c r="I10" s="7" t="inlineStr">
        <is>
          <t>清洁能源</t>
        </is>
      </c>
      <c r="J10" s="7" t="inlineStr">
        <is>
          <t>环保督察</t>
        </is>
      </c>
      <c r="K10" s="7" t="inlineStr">
        <is>
          <t>生态红线</t>
        </is>
      </c>
      <c r="L10" s="7" t="inlineStr">
        <is>
          <t>生物多样性</t>
        </is>
      </c>
      <c r="M10" s="7" t="inlineStr">
        <is>
          <t>综合治理</t>
        </is>
      </c>
      <c r="N10" s="7" t="inlineStr">
        <is>
          <t>绿水青山</t>
        </is>
      </c>
      <c r="O10" s="7" t="inlineStr">
        <is>
          <t>绿色发展</t>
        </is>
      </c>
      <c r="P10" s="7" t="inlineStr">
        <is>
          <t>美丽中国</t>
        </is>
      </c>
      <c r="Q10" s="7" t="inlineStr">
        <is>
          <t>资源节约</t>
        </is>
      </c>
      <c r="R10" s="7" t="inlineStr">
        <is>
          <t>长江生态</t>
        </is>
      </c>
      <c r="S10" s="7" t="inlineStr">
        <is>
          <t>报道总数 (原始)</t>
        </is>
      </c>
      <c r="T10" s="7" t="inlineStr">
        <is>
          <t>数量得分 (65-95)</t>
        </is>
      </c>
    </row>
    <row r="11">
      <c r="A11" s="8" t="n">
        <v>1</v>
      </c>
      <c r="B11" s="8" t="inlineStr">
        <is>
          <t>两江新区</t>
        </is>
      </c>
      <c r="C11" s="8" t="n">
        <v>83</v>
      </c>
      <c r="D11" s="8" t="n">
        <v>70</v>
      </c>
      <c r="E11" s="8" t="n">
        <v>56</v>
      </c>
      <c r="F11" s="8" t="n">
        <v>66</v>
      </c>
      <c r="G11" s="8" t="n">
        <v>7</v>
      </c>
      <c r="H11" s="8" t="n">
        <v>27</v>
      </c>
      <c r="I11" s="8" t="n">
        <v>76</v>
      </c>
      <c r="J11" s="8" t="n">
        <v>6</v>
      </c>
      <c r="K11" s="8" t="n">
        <v>6</v>
      </c>
      <c r="L11" s="8" t="n">
        <v>37</v>
      </c>
      <c r="M11" s="8" t="n">
        <v>222</v>
      </c>
      <c r="N11" s="8" t="n">
        <v>84</v>
      </c>
      <c r="O11" s="8" t="n">
        <v>232</v>
      </c>
      <c r="P11" s="8" t="n">
        <v>86</v>
      </c>
      <c r="Q11" s="8" t="n">
        <v>18</v>
      </c>
      <c r="R11" s="8" t="n">
        <v>73</v>
      </c>
      <c r="S11" s="8" t="n">
        <v>706</v>
      </c>
      <c r="T11" s="8" t="n">
        <v>95</v>
      </c>
    </row>
    <row r="12">
      <c r="A12" s="9" t="n">
        <v>2</v>
      </c>
      <c r="B12" s="9" t="inlineStr">
        <is>
          <t>涪陵区</t>
        </is>
      </c>
      <c r="C12" s="9" t="n">
        <v>8</v>
      </c>
      <c r="D12" s="9" t="n">
        <v>29</v>
      </c>
      <c r="E12" s="9" t="n">
        <v>19</v>
      </c>
      <c r="F12" s="9" t="n">
        <v>18</v>
      </c>
      <c r="G12" s="9" t="n">
        <v>28</v>
      </c>
      <c r="H12" s="9" t="n">
        <v>22</v>
      </c>
      <c r="I12" s="9" t="n">
        <v>73</v>
      </c>
      <c r="J12" s="9" t="n">
        <v>2</v>
      </c>
      <c r="K12" s="9" t="n">
        <v>2</v>
      </c>
      <c r="L12" s="9" t="n">
        <v>14</v>
      </c>
      <c r="M12" s="9" t="n">
        <v>105</v>
      </c>
      <c r="N12" s="9" t="n">
        <v>72</v>
      </c>
      <c r="O12" s="9" t="n">
        <v>143</v>
      </c>
      <c r="P12" s="9" t="n">
        <v>30</v>
      </c>
      <c r="Q12" s="9" t="n">
        <v>1</v>
      </c>
      <c r="R12" s="9" t="n">
        <v>125</v>
      </c>
      <c r="S12" s="9" t="n">
        <v>415</v>
      </c>
      <c r="T12" s="9" t="n">
        <v>80.40000000000001</v>
      </c>
    </row>
    <row r="13">
      <c r="A13" s="8" t="n">
        <v>3</v>
      </c>
      <c r="B13" s="8" t="inlineStr">
        <is>
          <t>渝中区</t>
        </is>
      </c>
      <c r="C13" s="8" t="n">
        <v>18</v>
      </c>
      <c r="D13" s="8" t="n">
        <v>28</v>
      </c>
      <c r="E13" s="8" t="n">
        <v>18</v>
      </c>
      <c r="F13" s="8" t="n">
        <v>55</v>
      </c>
      <c r="G13" s="8" t="n">
        <v>9</v>
      </c>
      <c r="H13" s="8" t="n">
        <v>24</v>
      </c>
      <c r="I13" s="8" t="n">
        <v>37</v>
      </c>
      <c r="J13" s="8" t="n">
        <v>1</v>
      </c>
      <c r="K13" s="8" t="n">
        <v>5</v>
      </c>
      <c r="L13" s="8" t="n">
        <v>29</v>
      </c>
      <c r="M13" s="8" t="n">
        <v>170</v>
      </c>
      <c r="N13" s="8" t="n">
        <v>35</v>
      </c>
      <c r="O13" s="8" t="n">
        <v>90</v>
      </c>
      <c r="P13" s="8" t="n">
        <v>44</v>
      </c>
      <c r="Q13" s="8" t="n">
        <v>12</v>
      </c>
      <c r="R13" s="8" t="n">
        <v>59</v>
      </c>
      <c r="S13" s="8" t="n">
        <v>387</v>
      </c>
      <c r="T13" s="8" t="n">
        <v>79</v>
      </c>
    </row>
    <row r="14">
      <c r="A14" s="9" t="n">
        <v>4</v>
      </c>
      <c r="B14" s="9" t="inlineStr">
        <is>
          <t>巴南区</t>
        </is>
      </c>
      <c r="C14" s="9" t="n">
        <v>31</v>
      </c>
      <c r="D14" s="9" t="n">
        <v>33</v>
      </c>
      <c r="E14" s="9" t="n">
        <v>10</v>
      </c>
      <c r="F14" s="9" t="n">
        <v>13</v>
      </c>
      <c r="G14" s="9" t="n">
        <v>6</v>
      </c>
      <c r="H14" s="9" t="n">
        <v>12</v>
      </c>
      <c r="I14" s="9" t="n">
        <v>27</v>
      </c>
      <c r="J14" s="9" t="n">
        <v>1</v>
      </c>
      <c r="K14" s="9" t="n">
        <v>2</v>
      </c>
      <c r="L14" s="9" t="n">
        <v>11</v>
      </c>
      <c r="M14" s="9" t="n">
        <v>132</v>
      </c>
      <c r="N14" s="9" t="n">
        <v>45</v>
      </c>
      <c r="O14" s="9" t="n">
        <v>104</v>
      </c>
      <c r="P14" s="9" t="n">
        <v>33</v>
      </c>
      <c r="Q14" s="9" t="n">
        <v>1</v>
      </c>
      <c r="R14" s="9" t="n">
        <v>48</v>
      </c>
      <c r="S14" s="9" t="n">
        <v>322</v>
      </c>
      <c r="T14" s="9" t="n">
        <v>75.73999999999999</v>
      </c>
    </row>
    <row r="15">
      <c r="A15" s="8" t="n">
        <v>5</v>
      </c>
      <c r="B15" s="8" t="inlineStr">
        <is>
          <t>九龙坡区</t>
        </is>
      </c>
      <c r="C15" s="8" t="n">
        <v>38</v>
      </c>
      <c r="D15" s="8" t="n">
        <v>42</v>
      </c>
      <c r="E15" s="8" t="n">
        <v>20</v>
      </c>
      <c r="F15" s="8" t="n">
        <v>16</v>
      </c>
      <c r="G15" s="8" t="n">
        <v>6</v>
      </c>
      <c r="H15" s="8" t="n">
        <v>28</v>
      </c>
      <c r="I15" s="8" t="n">
        <v>35</v>
      </c>
      <c r="J15" s="8" t="n">
        <v>0</v>
      </c>
      <c r="K15" s="8" t="n">
        <v>1</v>
      </c>
      <c r="L15" s="8" t="n">
        <v>14</v>
      </c>
      <c r="M15" s="8" t="n">
        <v>132</v>
      </c>
      <c r="N15" s="8" t="n">
        <v>14</v>
      </c>
      <c r="O15" s="8" t="n">
        <v>124</v>
      </c>
      <c r="P15" s="8" t="n">
        <v>41</v>
      </c>
      <c r="Q15" s="8" t="n">
        <v>3</v>
      </c>
      <c r="R15" s="8" t="n">
        <v>25</v>
      </c>
      <c r="S15" s="8" t="n">
        <v>315</v>
      </c>
      <c r="T15" s="8" t="n">
        <v>75.38</v>
      </c>
    </row>
    <row r="16">
      <c r="A16" s="9" t="n">
        <v>6</v>
      </c>
      <c r="B16" s="9" t="inlineStr">
        <is>
          <t>万州区</t>
        </is>
      </c>
      <c r="C16" s="9" t="n">
        <v>9</v>
      </c>
      <c r="D16" s="9" t="n">
        <v>19</v>
      </c>
      <c r="E16" s="9" t="n">
        <v>11</v>
      </c>
      <c r="F16" s="9" t="n">
        <v>24</v>
      </c>
      <c r="G16" s="9" t="n">
        <v>9</v>
      </c>
      <c r="H16" s="9" t="n">
        <v>25</v>
      </c>
      <c r="I16" s="9" t="n">
        <v>30</v>
      </c>
      <c r="J16" s="9" t="n">
        <v>1</v>
      </c>
      <c r="K16" s="9" t="n">
        <v>3</v>
      </c>
      <c r="L16" s="9" t="n">
        <v>25</v>
      </c>
      <c r="M16" s="9" t="n">
        <v>110</v>
      </c>
      <c r="N16" s="9" t="n">
        <v>51</v>
      </c>
      <c r="O16" s="9" t="n">
        <v>79</v>
      </c>
      <c r="P16" s="9" t="n">
        <v>31</v>
      </c>
      <c r="Q16" s="9" t="n">
        <v>1</v>
      </c>
      <c r="R16" s="9" t="n">
        <v>124</v>
      </c>
      <c r="S16" s="9" t="n">
        <v>313</v>
      </c>
      <c r="T16" s="9" t="n">
        <v>75.28</v>
      </c>
    </row>
    <row r="17">
      <c r="A17" s="8" t="n">
        <v>7</v>
      </c>
      <c r="B17" s="8" t="inlineStr">
        <is>
          <t>江津区</t>
        </is>
      </c>
      <c r="C17" s="8" t="n">
        <v>9</v>
      </c>
      <c r="D17" s="8" t="n">
        <v>12</v>
      </c>
      <c r="E17" s="8" t="n">
        <v>13</v>
      </c>
      <c r="F17" s="8" t="n">
        <v>32</v>
      </c>
      <c r="G17" s="8" t="n">
        <v>11</v>
      </c>
      <c r="H17" s="8" t="n">
        <v>15</v>
      </c>
      <c r="I17" s="8" t="n">
        <v>31</v>
      </c>
      <c r="J17" s="8" t="n">
        <v>1</v>
      </c>
      <c r="K17" s="8" t="n">
        <v>0</v>
      </c>
      <c r="L17" s="8" t="n">
        <v>45</v>
      </c>
      <c r="M17" s="8" t="n">
        <v>110</v>
      </c>
      <c r="N17" s="8" t="n">
        <v>50</v>
      </c>
      <c r="O17" s="8" t="n">
        <v>95</v>
      </c>
      <c r="P17" s="8" t="n">
        <v>23</v>
      </c>
      <c r="Q17" s="8" t="n">
        <v>1</v>
      </c>
      <c r="R17" s="8" t="n">
        <v>57</v>
      </c>
      <c r="S17" s="8" t="n">
        <v>299</v>
      </c>
      <c r="T17" s="8" t="n">
        <v>74.58</v>
      </c>
    </row>
    <row r="18">
      <c r="A18" s="9" t="n">
        <v>8</v>
      </c>
      <c r="B18" s="9" t="inlineStr">
        <is>
          <t>武隆区</t>
        </is>
      </c>
      <c r="C18" s="9" t="n">
        <v>1</v>
      </c>
      <c r="D18" s="9" t="n">
        <v>27</v>
      </c>
      <c r="E18" s="9" t="n">
        <v>12</v>
      </c>
      <c r="F18" s="9" t="n">
        <v>12</v>
      </c>
      <c r="G18" s="9" t="n">
        <v>42</v>
      </c>
      <c r="H18" s="9" t="n">
        <v>12</v>
      </c>
      <c r="I18" s="9" t="n">
        <v>16</v>
      </c>
      <c r="J18" s="9" t="n">
        <v>0</v>
      </c>
      <c r="K18" s="9" t="n">
        <v>26</v>
      </c>
      <c r="L18" s="9" t="n">
        <v>18</v>
      </c>
      <c r="M18" s="9" t="n">
        <v>122</v>
      </c>
      <c r="N18" s="9" t="n">
        <v>104</v>
      </c>
      <c r="O18" s="9" t="n">
        <v>56</v>
      </c>
      <c r="P18" s="9" t="n">
        <v>24</v>
      </c>
      <c r="Q18" s="9" t="n">
        <v>0</v>
      </c>
      <c r="R18" s="9" t="n">
        <v>23</v>
      </c>
      <c r="S18" s="9" t="n">
        <v>268</v>
      </c>
      <c r="T18" s="9" t="n">
        <v>73.03</v>
      </c>
    </row>
    <row r="19">
      <c r="A19" s="8" t="n">
        <v>9</v>
      </c>
      <c r="B19" s="8" t="inlineStr">
        <is>
          <t>巫山县</t>
        </is>
      </c>
      <c r="C19" s="8" t="n">
        <v>4</v>
      </c>
      <c r="D19" s="8" t="n">
        <v>47</v>
      </c>
      <c r="E19" s="8" t="n">
        <v>17</v>
      </c>
      <c r="F19" s="8" t="n">
        <v>24</v>
      </c>
      <c r="G19" s="8" t="n">
        <v>11</v>
      </c>
      <c r="H19" s="8" t="n">
        <v>28</v>
      </c>
      <c r="I19" s="8" t="n">
        <v>55</v>
      </c>
      <c r="J19" s="8" t="n">
        <v>1</v>
      </c>
      <c r="K19" s="8" t="n">
        <v>16</v>
      </c>
      <c r="L19" s="8" t="n">
        <v>28</v>
      </c>
      <c r="M19" s="8" t="n">
        <v>107</v>
      </c>
      <c r="N19" s="8" t="n">
        <v>94</v>
      </c>
      <c r="O19" s="8" t="n">
        <v>105</v>
      </c>
      <c r="P19" s="8" t="n">
        <v>44</v>
      </c>
      <c r="Q19" s="8" t="n">
        <v>1</v>
      </c>
      <c r="R19" s="8" t="n">
        <v>65</v>
      </c>
      <c r="S19" s="8" t="n">
        <v>261</v>
      </c>
      <c r="T19" s="8" t="n">
        <v>72.68000000000001</v>
      </c>
    </row>
    <row r="20">
      <c r="A20" s="9" t="n">
        <v>10</v>
      </c>
      <c r="B20" s="9" t="inlineStr">
        <is>
          <t>黔江区</t>
        </is>
      </c>
      <c r="C20" s="9" t="n">
        <v>2</v>
      </c>
      <c r="D20" s="9" t="n">
        <v>9</v>
      </c>
      <c r="E20" s="9" t="n">
        <v>8</v>
      </c>
      <c r="F20" s="9" t="n">
        <v>6</v>
      </c>
      <c r="G20" s="9" t="n">
        <v>17</v>
      </c>
      <c r="H20" s="9" t="n">
        <v>6</v>
      </c>
      <c r="I20" s="9" t="n">
        <v>26</v>
      </c>
      <c r="J20" s="9" t="n">
        <v>0</v>
      </c>
      <c r="K20" s="9" t="n">
        <v>14</v>
      </c>
      <c r="L20" s="9" t="n">
        <v>10</v>
      </c>
      <c r="M20" s="9" t="n">
        <v>89</v>
      </c>
      <c r="N20" s="9" t="n">
        <v>64</v>
      </c>
      <c r="O20" s="9" t="n">
        <v>69</v>
      </c>
      <c r="P20" s="9" t="n">
        <v>19</v>
      </c>
      <c r="Q20" s="9" t="n">
        <v>2</v>
      </c>
      <c r="R20" s="9" t="n">
        <v>31</v>
      </c>
      <c r="S20" s="9" t="n">
        <v>250</v>
      </c>
      <c r="T20" s="9" t="n">
        <v>72.12</v>
      </c>
    </row>
    <row r="21">
      <c r="A21" s="8" t="n">
        <v>11</v>
      </c>
      <c r="B21" s="8" t="inlineStr">
        <is>
          <t>北碚区</t>
        </is>
      </c>
      <c r="C21" s="8" t="n">
        <v>7</v>
      </c>
      <c r="D21" s="8" t="n">
        <v>33</v>
      </c>
      <c r="E21" s="8" t="n">
        <v>16</v>
      </c>
      <c r="F21" s="8" t="n">
        <v>21</v>
      </c>
      <c r="G21" s="8" t="n">
        <v>10</v>
      </c>
      <c r="H21" s="8" t="n">
        <v>9</v>
      </c>
      <c r="I21" s="8" t="n">
        <v>15</v>
      </c>
      <c r="J21" s="8" t="n">
        <v>0</v>
      </c>
      <c r="K21" s="8" t="n">
        <v>6</v>
      </c>
      <c r="L21" s="8" t="n">
        <v>20</v>
      </c>
      <c r="M21" s="8" t="n">
        <v>108</v>
      </c>
      <c r="N21" s="8" t="n">
        <v>74</v>
      </c>
      <c r="O21" s="8" t="n">
        <v>72</v>
      </c>
      <c r="P21" s="8" t="n">
        <v>40</v>
      </c>
      <c r="Q21" s="8" t="n">
        <v>4</v>
      </c>
      <c r="R21" s="8" t="n">
        <v>25</v>
      </c>
      <c r="S21" s="8" t="n">
        <v>247</v>
      </c>
      <c r="T21" s="8" t="n">
        <v>71.97</v>
      </c>
    </row>
    <row r="22">
      <c r="A22" s="9" t="n">
        <v>12</v>
      </c>
      <c r="B22" s="9" t="inlineStr">
        <is>
          <t>开州区</t>
        </is>
      </c>
      <c r="C22" s="9" t="n">
        <v>3</v>
      </c>
      <c r="D22" s="9" t="n">
        <v>34</v>
      </c>
      <c r="E22" s="9" t="n">
        <v>8</v>
      </c>
      <c r="F22" s="9" t="n">
        <v>28</v>
      </c>
      <c r="G22" s="9" t="n">
        <v>13</v>
      </c>
      <c r="H22" s="9" t="n">
        <v>22</v>
      </c>
      <c r="I22" s="9" t="n">
        <v>14</v>
      </c>
      <c r="J22" s="9" t="n">
        <v>2</v>
      </c>
      <c r="K22" s="9" t="n">
        <v>7</v>
      </c>
      <c r="L22" s="9" t="n">
        <v>55</v>
      </c>
      <c r="M22" s="9" t="n">
        <v>139</v>
      </c>
      <c r="N22" s="9" t="n">
        <v>66</v>
      </c>
      <c r="O22" s="9" t="n">
        <v>63</v>
      </c>
      <c r="P22" s="9" t="n">
        <v>19</v>
      </c>
      <c r="Q22" s="9" t="n">
        <v>0</v>
      </c>
      <c r="R22" s="9" t="n">
        <v>37</v>
      </c>
      <c r="S22" s="9" t="n">
        <v>244</v>
      </c>
      <c r="T22" s="9" t="n">
        <v>71.81999999999999</v>
      </c>
    </row>
    <row r="23">
      <c r="A23" s="8" t="n">
        <v>13</v>
      </c>
      <c r="B23" s="8" t="inlineStr">
        <is>
          <t>梁平区</t>
        </is>
      </c>
      <c r="C23" s="8" t="n">
        <v>4</v>
      </c>
      <c r="D23" s="8" t="n">
        <v>34</v>
      </c>
      <c r="E23" s="8" t="n">
        <v>6</v>
      </c>
      <c r="F23" s="8" t="n">
        <v>23</v>
      </c>
      <c r="G23" s="8" t="n">
        <v>1</v>
      </c>
      <c r="H23" s="8" t="n">
        <v>22</v>
      </c>
      <c r="I23" s="8" t="n">
        <v>29</v>
      </c>
      <c r="J23" s="8" t="n">
        <v>3</v>
      </c>
      <c r="K23" s="8" t="n">
        <v>16</v>
      </c>
      <c r="L23" s="8" t="n">
        <v>32</v>
      </c>
      <c r="M23" s="8" t="n">
        <v>128</v>
      </c>
      <c r="N23" s="8" t="n">
        <v>60</v>
      </c>
      <c r="O23" s="8" t="n">
        <v>121</v>
      </c>
      <c r="P23" s="8" t="n">
        <v>23</v>
      </c>
      <c r="Q23" s="8" t="n">
        <v>1</v>
      </c>
      <c r="R23" s="8" t="n">
        <v>32</v>
      </c>
      <c r="S23" s="8" t="n">
        <v>243</v>
      </c>
      <c r="T23" s="8" t="n">
        <v>71.77</v>
      </c>
    </row>
    <row r="24">
      <c r="A24" s="9" t="n">
        <v>14</v>
      </c>
      <c r="B24" s="9" t="inlineStr">
        <is>
          <t>南岸区</t>
        </is>
      </c>
      <c r="C24" s="9" t="n">
        <v>10</v>
      </c>
      <c r="D24" s="9" t="n">
        <v>22</v>
      </c>
      <c r="E24" s="9" t="n">
        <v>15</v>
      </c>
      <c r="F24" s="9" t="n">
        <v>24</v>
      </c>
      <c r="G24" s="9" t="n">
        <v>7</v>
      </c>
      <c r="H24" s="9" t="n">
        <v>17</v>
      </c>
      <c r="I24" s="9" t="n">
        <v>15</v>
      </c>
      <c r="J24" s="9" t="n">
        <v>1</v>
      </c>
      <c r="K24" s="9" t="n">
        <v>3</v>
      </c>
      <c r="L24" s="9" t="n">
        <v>24</v>
      </c>
      <c r="M24" s="9" t="n">
        <v>103</v>
      </c>
      <c r="N24" s="9" t="n">
        <v>24</v>
      </c>
      <c r="O24" s="9" t="n">
        <v>67</v>
      </c>
      <c r="P24" s="9" t="n">
        <v>17</v>
      </c>
      <c r="Q24" s="9" t="n">
        <v>0</v>
      </c>
      <c r="R24" s="9" t="n">
        <v>35</v>
      </c>
      <c r="S24" s="9" t="n">
        <v>242</v>
      </c>
      <c r="T24" s="9" t="n">
        <v>71.72</v>
      </c>
    </row>
    <row r="25">
      <c r="A25" s="8" t="n">
        <v>15</v>
      </c>
      <c r="B25" s="8" t="inlineStr">
        <is>
          <t>云阳县</t>
        </is>
      </c>
      <c r="C25" s="8" t="n">
        <v>8</v>
      </c>
      <c r="D25" s="8" t="n">
        <v>18</v>
      </c>
      <c r="E25" s="8" t="n">
        <v>7</v>
      </c>
      <c r="F25" s="8" t="n">
        <v>20</v>
      </c>
      <c r="G25" s="8" t="n">
        <v>8</v>
      </c>
      <c r="H25" s="8" t="n">
        <v>13</v>
      </c>
      <c r="I25" s="8" t="n">
        <v>20</v>
      </c>
      <c r="J25" s="8" t="n">
        <v>2</v>
      </c>
      <c r="K25" s="8" t="n">
        <v>3</v>
      </c>
      <c r="L25" s="8" t="n">
        <v>14</v>
      </c>
      <c r="M25" s="8" t="n">
        <v>119</v>
      </c>
      <c r="N25" s="8" t="n">
        <v>71</v>
      </c>
      <c r="O25" s="8" t="n">
        <v>70</v>
      </c>
      <c r="P25" s="8" t="n">
        <v>53</v>
      </c>
      <c r="Q25" s="8" t="n">
        <v>1</v>
      </c>
      <c r="R25" s="8" t="n">
        <v>36</v>
      </c>
      <c r="S25" s="8" t="n">
        <v>239</v>
      </c>
      <c r="T25" s="8" t="n">
        <v>71.56999999999999</v>
      </c>
    </row>
    <row r="26">
      <c r="A26" s="9" t="n">
        <v>16</v>
      </c>
      <c r="B26" s="9" t="inlineStr">
        <is>
          <t>忠县</t>
        </is>
      </c>
      <c r="C26" s="9" t="n">
        <v>2</v>
      </c>
      <c r="D26" s="9" t="n">
        <v>40</v>
      </c>
      <c r="E26" s="9" t="n">
        <v>9</v>
      </c>
      <c r="F26" s="9" t="n">
        <v>31</v>
      </c>
      <c r="G26" s="9" t="n">
        <v>7</v>
      </c>
      <c r="H26" s="9" t="n">
        <v>20</v>
      </c>
      <c r="I26" s="9" t="n">
        <v>37</v>
      </c>
      <c r="J26" s="9" t="n">
        <v>0</v>
      </c>
      <c r="K26" s="9" t="n">
        <v>20</v>
      </c>
      <c r="L26" s="9" t="n">
        <v>20</v>
      </c>
      <c r="M26" s="9" t="n">
        <v>123</v>
      </c>
      <c r="N26" s="9" t="n">
        <v>78</v>
      </c>
      <c r="O26" s="9" t="n">
        <v>73</v>
      </c>
      <c r="P26" s="9" t="n">
        <v>29</v>
      </c>
      <c r="Q26" s="9" t="n">
        <v>1</v>
      </c>
      <c r="R26" s="9" t="n">
        <v>69</v>
      </c>
      <c r="S26" s="9" t="n">
        <v>238</v>
      </c>
      <c r="T26" s="9" t="n">
        <v>71.52</v>
      </c>
    </row>
    <row r="27">
      <c r="A27" s="8" t="n">
        <v>17</v>
      </c>
      <c r="B27" s="8" t="inlineStr">
        <is>
          <t>永川区</t>
        </is>
      </c>
      <c r="C27" s="8" t="n">
        <v>8</v>
      </c>
      <c r="D27" s="8" t="n">
        <v>18</v>
      </c>
      <c r="E27" s="8" t="n">
        <v>12</v>
      </c>
      <c r="F27" s="8" t="n">
        <v>17</v>
      </c>
      <c r="G27" s="8" t="n">
        <v>16</v>
      </c>
      <c r="H27" s="8" t="n">
        <v>17</v>
      </c>
      <c r="I27" s="8" t="n">
        <v>27</v>
      </c>
      <c r="J27" s="8" t="n">
        <v>0</v>
      </c>
      <c r="K27" s="8" t="n">
        <v>11</v>
      </c>
      <c r="L27" s="8" t="n">
        <v>14</v>
      </c>
      <c r="M27" s="8" t="n">
        <v>92</v>
      </c>
      <c r="N27" s="8" t="n">
        <v>41</v>
      </c>
      <c r="O27" s="8" t="n">
        <v>79</v>
      </c>
      <c r="P27" s="8" t="n">
        <v>21</v>
      </c>
      <c r="Q27" s="8" t="n">
        <v>3</v>
      </c>
      <c r="R27" s="8" t="n">
        <v>32</v>
      </c>
      <c r="S27" s="8" t="n">
        <v>237</v>
      </c>
      <c r="T27" s="8" t="n">
        <v>71.47</v>
      </c>
    </row>
    <row r="28">
      <c r="A28" s="9" t="n">
        <v>18</v>
      </c>
      <c r="B28" s="9" t="inlineStr">
        <is>
          <t>奉节县</t>
        </is>
      </c>
      <c r="C28" s="9" t="n">
        <v>3</v>
      </c>
      <c r="D28" s="9" t="n">
        <v>22</v>
      </c>
      <c r="E28" s="9" t="n">
        <v>10</v>
      </c>
      <c r="F28" s="9" t="n">
        <v>13</v>
      </c>
      <c r="G28" s="9" t="n">
        <v>11</v>
      </c>
      <c r="H28" s="9" t="n">
        <v>15</v>
      </c>
      <c r="I28" s="9" t="n">
        <v>41</v>
      </c>
      <c r="J28" s="9" t="n">
        <v>1</v>
      </c>
      <c r="K28" s="9" t="n">
        <v>3</v>
      </c>
      <c r="L28" s="9" t="n">
        <v>7</v>
      </c>
      <c r="M28" s="9" t="n">
        <v>73</v>
      </c>
      <c r="N28" s="9" t="n">
        <v>77</v>
      </c>
      <c r="O28" s="9" t="n">
        <v>70</v>
      </c>
      <c r="P28" s="9" t="n">
        <v>24</v>
      </c>
      <c r="Q28" s="9" t="n">
        <v>0</v>
      </c>
      <c r="R28" s="9" t="n">
        <v>35</v>
      </c>
      <c r="S28" s="9" t="n">
        <v>233</v>
      </c>
      <c r="T28" s="9" t="n">
        <v>71.27</v>
      </c>
    </row>
    <row r="29">
      <c r="A29" s="8" t="n">
        <v>19</v>
      </c>
      <c r="B29" s="8" t="inlineStr">
        <is>
          <t>南川区</t>
        </is>
      </c>
      <c r="C29" s="8" t="n">
        <v>1</v>
      </c>
      <c r="D29" s="8" t="n">
        <v>35</v>
      </c>
      <c r="E29" s="8" t="n">
        <v>8</v>
      </c>
      <c r="F29" s="8" t="n">
        <v>13</v>
      </c>
      <c r="G29" s="8" t="n">
        <v>14</v>
      </c>
      <c r="H29" s="8" t="n">
        <v>11</v>
      </c>
      <c r="I29" s="8" t="n">
        <v>43</v>
      </c>
      <c r="J29" s="8" t="n">
        <v>1</v>
      </c>
      <c r="K29" s="8" t="n">
        <v>26</v>
      </c>
      <c r="L29" s="8" t="n">
        <v>25</v>
      </c>
      <c r="M29" s="8" t="n">
        <v>106</v>
      </c>
      <c r="N29" s="8" t="n">
        <v>78</v>
      </c>
      <c r="O29" s="8" t="n">
        <v>74</v>
      </c>
      <c r="P29" s="8" t="n">
        <v>16</v>
      </c>
      <c r="Q29" s="8" t="n">
        <v>1</v>
      </c>
      <c r="R29" s="8" t="n">
        <v>46</v>
      </c>
      <c r="S29" s="8" t="n">
        <v>230</v>
      </c>
      <c r="T29" s="8" t="n">
        <v>71.12</v>
      </c>
    </row>
    <row r="30">
      <c r="A30" s="9" t="n">
        <v>20</v>
      </c>
      <c r="B30" s="9" t="inlineStr">
        <is>
          <t>酉阳县</t>
        </is>
      </c>
      <c r="C30" s="9" t="n">
        <v>1</v>
      </c>
      <c r="D30" s="9" t="n">
        <v>17</v>
      </c>
      <c r="E30" s="9" t="n">
        <v>12</v>
      </c>
      <c r="F30" s="9" t="n">
        <v>14</v>
      </c>
      <c r="G30" s="9" t="n">
        <v>9</v>
      </c>
      <c r="H30" s="9" t="n">
        <v>9</v>
      </c>
      <c r="I30" s="9" t="n">
        <v>20</v>
      </c>
      <c r="J30" s="9" t="n">
        <v>1</v>
      </c>
      <c r="K30" s="9" t="n">
        <v>9</v>
      </c>
      <c r="L30" s="9" t="n">
        <v>14</v>
      </c>
      <c r="M30" s="9" t="n">
        <v>98</v>
      </c>
      <c r="N30" s="9" t="n">
        <v>97</v>
      </c>
      <c r="O30" s="9" t="n">
        <v>62</v>
      </c>
      <c r="P30" s="9" t="n">
        <v>19</v>
      </c>
      <c r="Q30" s="9" t="n">
        <v>0</v>
      </c>
      <c r="R30" s="9" t="n">
        <v>15</v>
      </c>
      <c r="S30" s="9" t="n">
        <v>230</v>
      </c>
      <c r="T30" s="9" t="n">
        <v>71.12</v>
      </c>
    </row>
    <row r="31">
      <c r="A31" s="8" t="n">
        <v>21</v>
      </c>
      <c r="B31" s="8" t="inlineStr">
        <is>
          <t>沙坪坝区</t>
        </is>
      </c>
      <c r="C31" s="8" t="n">
        <v>3</v>
      </c>
      <c r="D31" s="8" t="n">
        <v>8</v>
      </c>
      <c r="E31" s="8" t="n">
        <v>15</v>
      </c>
      <c r="F31" s="8" t="n">
        <v>17</v>
      </c>
      <c r="G31" s="8" t="n">
        <v>12</v>
      </c>
      <c r="H31" s="8" t="n">
        <v>12</v>
      </c>
      <c r="I31" s="8" t="n">
        <v>12</v>
      </c>
      <c r="J31" s="8" t="n">
        <v>0</v>
      </c>
      <c r="K31" s="8" t="n">
        <v>2</v>
      </c>
      <c r="L31" s="8" t="n">
        <v>5</v>
      </c>
      <c r="M31" s="8" t="n">
        <v>104</v>
      </c>
      <c r="N31" s="8" t="n">
        <v>10</v>
      </c>
      <c r="O31" s="8" t="n">
        <v>49</v>
      </c>
      <c r="P31" s="8" t="n">
        <v>14</v>
      </c>
      <c r="Q31" s="8" t="n">
        <v>11</v>
      </c>
      <c r="R31" s="8" t="n">
        <v>15</v>
      </c>
      <c r="S31" s="8" t="n">
        <v>216</v>
      </c>
      <c r="T31" s="8" t="n">
        <v>70.42</v>
      </c>
    </row>
    <row r="32">
      <c r="A32" s="9" t="n">
        <v>22</v>
      </c>
      <c r="B32" s="9" t="inlineStr">
        <is>
          <t>大足区</t>
        </is>
      </c>
      <c r="C32" s="9" t="n">
        <v>0</v>
      </c>
      <c r="D32" s="9" t="n">
        <v>17</v>
      </c>
      <c r="E32" s="9" t="n">
        <v>10</v>
      </c>
      <c r="F32" s="9" t="n">
        <v>12</v>
      </c>
      <c r="G32" s="9" t="n">
        <v>6</v>
      </c>
      <c r="H32" s="9" t="n">
        <v>11</v>
      </c>
      <c r="I32" s="9" t="n">
        <v>13</v>
      </c>
      <c r="J32" s="9" t="n">
        <v>0</v>
      </c>
      <c r="K32" s="9" t="n">
        <v>5</v>
      </c>
      <c r="L32" s="9" t="n">
        <v>5</v>
      </c>
      <c r="M32" s="9" t="n">
        <v>106</v>
      </c>
      <c r="N32" s="9" t="n">
        <v>27</v>
      </c>
      <c r="O32" s="9" t="n">
        <v>66</v>
      </c>
      <c r="P32" s="9" t="n">
        <v>19</v>
      </c>
      <c r="Q32" s="9" t="n">
        <v>0</v>
      </c>
      <c r="R32" s="9" t="n">
        <v>23</v>
      </c>
      <c r="S32" s="9" t="n">
        <v>214</v>
      </c>
      <c r="T32" s="9" t="n">
        <v>70.31999999999999</v>
      </c>
    </row>
    <row r="33">
      <c r="A33" s="8" t="n">
        <v>23</v>
      </c>
      <c r="B33" s="8" t="inlineStr">
        <is>
          <t>彭水县</t>
        </is>
      </c>
      <c r="C33" s="8" t="n">
        <v>5</v>
      </c>
      <c r="D33" s="8" t="n">
        <v>46</v>
      </c>
      <c r="E33" s="8" t="n">
        <v>1</v>
      </c>
      <c r="F33" s="8" t="n">
        <v>9</v>
      </c>
      <c r="G33" s="8" t="n">
        <v>7</v>
      </c>
      <c r="H33" s="8" t="n">
        <v>12</v>
      </c>
      <c r="I33" s="8" t="n">
        <v>45</v>
      </c>
      <c r="J33" s="8" t="n">
        <v>0</v>
      </c>
      <c r="K33" s="8" t="n">
        <v>17</v>
      </c>
      <c r="L33" s="8" t="n">
        <v>7</v>
      </c>
      <c r="M33" s="8" t="n">
        <v>95</v>
      </c>
      <c r="N33" s="8" t="n">
        <v>81</v>
      </c>
      <c r="O33" s="8" t="n">
        <v>67</v>
      </c>
      <c r="P33" s="8" t="n">
        <v>25</v>
      </c>
      <c r="Q33" s="8" t="n">
        <v>1</v>
      </c>
      <c r="R33" s="8" t="n">
        <v>36</v>
      </c>
      <c r="S33" s="8" t="n">
        <v>210</v>
      </c>
      <c r="T33" s="8" t="n">
        <v>70.12</v>
      </c>
    </row>
    <row r="34">
      <c r="A34" s="9" t="n">
        <v>24</v>
      </c>
      <c r="B34" s="9" t="inlineStr">
        <is>
          <t>科学城重庆高新区</t>
        </is>
      </c>
      <c r="C34" s="9" t="n">
        <v>33</v>
      </c>
      <c r="D34" s="9" t="n">
        <v>17</v>
      </c>
      <c r="E34" s="9" t="n">
        <v>13</v>
      </c>
      <c r="F34" s="9" t="n">
        <v>10</v>
      </c>
      <c r="G34" s="9" t="n">
        <v>0</v>
      </c>
      <c r="H34" s="9" t="n">
        <v>12</v>
      </c>
      <c r="I34" s="9" t="n">
        <v>14</v>
      </c>
      <c r="J34" s="9" t="n">
        <v>1</v>
      </c>
      <c r="K34" s="9" t="n">
        <v>3</v>
      </c>
      <c r="L34" s="9" t="n">
        <v>5</v>
      </c>
      <c r="M34" s="9" t="n">
        <v>59</v>
      </c>
      <c r="N34" s="9" t="n">
        <v>34</v>
      </c>
      <c r="O34" s="9" t="n">
        <v>75</v>
      </c>
      <c r="P34" s="9" t="n">
        <v>9</v>
      </c>
      <c r="Q34" s="9" t="n">
        <v>0</v>
      </c>
      <c r="R34" s="9" t="n">
        <v>6</v>
      </c>
      <c r="S34" s="9" t="n">
        <v>208</v>
      </c>
      <c r="T34" s="9" t="n">
        <v>70.02</v>
      </c>
    </row>
    <row r="35">
      <c r="A35" s="8" t="n">
        <v>25</v>
      </c>
      <c r="B35" s="8" t="inlineStr">
        <is>
          <t>长寿区</t>
        </is>
      </c>
      <c r="C35" s="8" t="n">
        <v>2</v>
      </c>
      <c r="D35" s="8" t="n">
        <v>11</v>
      </c>
      <c r="E35" s="8" t="n">
        <v>14</v>
      </c>
      <c r="F35" s="8" t="n">
        <v>11</v>
      </c>
      <c r="G35" s="8" t="n">
        <v>3</v>
      </c>
      <c r="H35" s="8" t="n">
        <v>17</v>
      </c>
      <c r="I35" s="8" t="n">
        <v>27</v>
      </c>
      <c r="J35" s="8" t="n">
        <v>1</v>
      </c>
      <c r="K35" s="8" t="n">
        <v>0</v>
      </c>
      <c r="L35" s="8" t="n">
        <v>16</v>
      </c>
      <c r="M35" s="8" t="n">
        <v>68</v>
      </c>
      <c r="N35" s="8" t="n">
        <v>30</v>
      </c>
      <c r="O35" s="8" t="n">
        <v>99</v>
      </c>
      <c r="P35" s="8" t="n">
        <v>19</v>
      </c>
      <c r="Q35" s="8" t="n">
        <v>1</v>
      </c>
      <c r="R35" s="8" t="n">
        <v>30</v>
      </c>
      <c r="S35" s="8" t="n">
        <v>191</v>
      </c>
      <c r="T35" s="8" t="n">
        <v>69.16</v>
      </c>
    </row>
    <row r="36">
      <c r="A36" s="9" t="n">
        <v>26</v>
      </c>
      <c r="B36" s="9" t="inlineStr">
        <is>
          <t>大渡口区</t>
        </is>
      </c>
      <c r="C36" s="9" t="n">
        <v>15</v>
      </c>
      <c r="D36" s="9" t="n">
        <v>26</v>
      </c>
      <c r="E36" s="9" t="n">
        <v>9</v>
      </c>
      <c r="F36" s="9" t="n">
        <v>13</v>
      </c>
      <c r="G36" s="9" t="n">
        <v>1</v>
      </c>
      <c r="H36" s="9" t="n">
        <v>8</v>
      </c>
      <c r="I36" s="9" t="n">
        <v>21</v>
      </c>
      <c r="J36" s="9" t="n">
        <v>0</v>
      </c>
      <c r="K36" s="9" t="n">
        <v>1</v>
      </c>
      <c r="L36" s="9" t="n">
        <v>5</v>
      </c>
      <c r="M36" s="9" t="n">
        <v>82</v>
      </c>
      <c r="N36" s="9" t="n">
        <v>20</v>
      </c>
      <c r="O36" s="9" t="n">
        <v>62</v>
      </c>
      <c r="P36" s="9" t="n">
        <v>18</v>
      </c>
      <c r="Q36" s="9" t="n">
        <v>1</v>
      </c>
      <c r="R36" s="9" t="n">
        <v>19</v>
      </c>
      <c r="S36" s="9" t="n">
        <v>191</v>
      </c>
      <c r="T36" s="9" t="n">
        <v>69.16</v>
      </c>
    </row>
    <row r="37">
      <c r="A37" s="8" t="n">
        <v>27</v>
      </c>
      <c r="B37" s="8" t="inlineStr">
        <is>
          <t>铜梁区</t>
        </is>
      </c>
      <c r="C37" s="8" t="n">
        <v>7</v>
      </c>
      <c r="D37" s="8" t="n">
        <v>14</v>
      </c>
      <c r="E37" s="8" t="n">
        <v>11</v>
      </c>
      <c r="F37" s="8" t="n">
        <v>11</v>
      </c>
      <c r="G37" s="8" t="n">
        <v>2</v>
      </c>
      <c r="H37" s="8" t="n">
        <v>9</v>
      </c>
      <c r="I37" s="8" t="n">
        <v>30</v>
      </c>
      <c r="J37" s="8" t="n">
        <v>1</v>
      </c>
      <c r="K37" s="8" t="n">
        <v>3</v>
      </c>
      <c r="L37" s="8" t="n">
        <v>7</v>
      </c>
      <c r="M37" s="8" t="n">
        <v>66</v>
      </c>
      <c r="N37" s="8" t="n">
        <v>27</v>
      </c>
      <c r="O37" s="8" t="n">
        <v>60</v>
      </c>
      <c r="P37" s="8" t="n">
        <v>19</v>
      </c>
      <c r="Q37" s="8" t="n">
        <v>0</v>
      </c>
      <c r="R37" s="8" t="n">
        <v>15</v>
      </c>
      <c r="S37" s="8" t="n">
        <v>188</v>
      </c>
      <c r="T37" s="8" t="n">
        <v>69.01000000000001</v>
      </c>
    </row>
    <row r="38">
      <c r="A38" s="9" t="n">
        <v>28</v>
      </c>
      <c r="B38" s="9" t="inlineStr">
        <is>
          <t>荣昌区</t>
        </is>
      </c>
      <c r="C38" s="9" t="n">
        <v>3</v>
      </c>
      <c r="D38" s="9" t="n">
        <v>9</v>
      </c>
      <c r="E38" s="9" t="n">
        <v>10</v>
      </c>
      <c r="F38" s="9" t="n">
        <v>7</v>
      </c>
      <c r="G38" s="9" t="n">
        <v>5</v>
      </c>
      <c r="H38" s="9" t="n">
        <v>16</v>
      </c>
      <c r="I38" s="9" t="n">
        <v>21</v>
      </c>
      <c r="J38" s="9" t="n">
        <v>1</v>
      </c>
      <c r="K38" s="9" t="n">
        <v>3</v>
      </c>
      <c r="L38" s="9" t="n">
        <v>13</v>
      </c>
      <c r="M38" s="9" t="n">
        <v>75</v>
      </c>
      <c r="N38" s="9" t="n">
        <v>21</v>
      </c>
      <c r="O38" s="9" t="n">
        <v>65</v>
      </c>
      <c r="P38" s="9" t="n">
        <v>18</v>
      </c>
      <c r="Q38" s="9" t="n">
        <v>1</v>
      </c>
      <c r="R38" s="9" t="n">
        <v>20</v>
      </c>
      <c r="S38" s="9" t="n">
        <v>186</v>
      </c>
      <c r="T38" s="9" t="n">
        <v>68.91</v>
      </c>
    </row>
    <row r="39">
      <c r="A39" s="8" t="n">
        <v>29</v>
      </c>
      <c r="B39" s="8" t="inlineStr">
        <is>
          <t>秀山县</t>
        </is>
      </c>
      <c r="C39" s="8" t="n">
        <v>0</v>
      </c>
      <c r="D39" s="8" t="n">
        <v>15</v>
      </c>
      <c r="E39" s="8" t="n">
        <v>3</v>
      </c>
      <c r="F39" s="8" t="n">
        <v>26</v>
      </c>
      <c r="G39" s="8" t="n">
        <v>5</v>
      </c>
      <c r="H39" s="8" t="n">
        <v>5</v>
      </c>
      <c r="I39" s="8" t="n">
        <v>2</v>
      </c>
      <c r="J39" s="8" t="n">
        <v>2</v>
      </c>
      <c r="K39" s="8" t="n">
        <v>2</v>
      </c>
      <c r="L39" s="8" t="n">
        <v>16</v>
      </c>
      <c r="M39" s="8" t="n">
        <v>77</v>
      </c>
      <c r="N39" s="8" t="n">
        <v>46</v>
      </c>
      <c r="O39" s="8" t="n">
        <v>24</v>
      </c>
      <c r="P39" s="8" t="n">
        <v>20</v>
      </c>
      <c r="Q39" s="8" t="n">
        <v>0</v>
      </c>
      <c r="R39" s="8" t="n">
        <v>9</v>
      </c>
      <c r="S39" s="8" t="n">
        <v>181</v>
      </c>
      <c r="T39" s="8" t="n">
        <v>68.66</v>
      </c>
    </row>
    <row r="40">
      <c r="A40" s="9" t="n">
        <v>30</v>
      </c>
      <c r="B40" s="9" t="inlineStr">
        <is>
          <t>丰都县</t>
        </is>
      </c>
      <c r="C40" s="9" t="n">
        <v>1</v>
      </c>
      <c r="D40" s="9" t="n">
        <v>16</v>
      </c>
      <c r="E40" s="9" t="n">
        <v>9</v>
      </c>
      <c r="F40" s="9" t="n">
        <v>17</v>
      </c>
      <c r="G40" s="9" t="n">
        <v>10</v>
      </c>
      <c r="H40" s="9" t="n">
        <v>7</v>
      </c>
      <c r="I40" s="9" t="n">
        <v>32</v>
      </c>
      <c r="J40" s="9" t="n">
        <v>9</v>
      </c>
      <c r="K40" s="9" t="n">
        <v>2</v>
      </c>
      <c r="L40" s="9" t="n">
        <v>10</v>
      </c>
      <c r="M40" s="9" t="n">
        <v>58</v>
      </c>
      <c r="N40" s="9" t="n">
        <v>51</v>
      </c>
      <c r="O40" s="9" t="n">
        <v>62</v>
      </c>
      <c r="P40" s="9" t="n">
        <v>21</v>
      </c>
      <c r="Q40" s="9" t="n">
        <v>0</v>
      </c>
      <c r="R40" s="9" t="n">
        <v>28</v>
      </c>
      <c r="S40" s="9" t="n">
        <v>175</v>
      </c>
      <c r="T40" s="9" t="n">
        <v>68.36</v>
      </c>
    </row>
    <row r="41">
      <c r="A41" s="8" t="n">
        <v>31</v>
      </c>
      <c r="B41" s="8" t="inlineStr">
        <is>
          <t>石柱县</t>
        </is>
      </c>
      <c r="C41" s="8" t="n">
        <v>0</v>
      </c>
      <c r="D41" s="8" t="n">
        <v>9</v>
      </c>
      <c r="E41" s="8" t="n">
        <v>8</v>
      </c>
      <c r="F41" s="8" t="n">
        <v>10</v>
      </c>
      <c r="G41" s="8" t="n">
        <v>3</v>
      </c>
      <c r="H41" s="8" t="n">
        <v>7</v>
      </c>
      <c r="I41" s="8" t="n">
        <v>25</v>
      </c>
      <c r="J41" s="8" t="n">
        <v>2</v>
      </c>
      <c r="K41" s="8" t="n">
        <v>2</v>
      </c>
      <c r="L41" s="8" t="n">
        <v>9</v>
      </c>
      <c r="M41" s="8" t="n">
        <v>59</v>
      </c>
      <c r="N41" s="8" t="n">
        <v>38</v>
      </c>
      <c r="O41" s="8" t="n">
        <v>36</v>
      </c>
      <c r="P41" s="8" t="n">
        <v>20</v>
      </c>
      <c r="Q41" s="8" t="n">
        <v>0</v>
      </c>
      <c r="R41" s="8" t="n">
        <v>27</v>
      </c>
      <c r="S41" s="8" t="n">
        <v>174</v>
      </c>
      <c r="T41" s="8" t="n">
        <v>68.31</v>
      </c>
    </row>
    <row r="42">
      <c r="A42" s="9" t="n">
        <v>32</v>
      </c>
      <c r="B42" s="9" t="inlineStr">
        <is>
          <t>城口县</t>
        </is>
      </c>
      <c r="C42" s="9" t="n">
        <v>1</v>
      </c>
      <c r="D42" s="9" t="n">
        <v>15</v>
      </c>
      <c r="E42" s="9" t="n">
        <v>2</v>
      </c>
      <c r="F42" s="9" t="n">
        <v>12</v>
      </c>
      <c r="G42" s="9" t="n">
        <v>1</v>
      </c>
      <c r="H42" s="9" t="n">
        <v>8</v>
      </c>
      <c r="I42" s="9" t="n">
        <v>3</v>
      </c>
      <c r="J42" s="9" t="n">
        <v>0</v>
      </c>
      <c r="K42" s="9" t="n">
        <v>1</v>
      </c>
      <c r="L42" s="9" t="n">
        <v>20</v>
      </c>
      <c r="M42" s="9" t="n">
        <v>57</v>
      </c>
      <c r="N42" s="9" t="n">
        <v>57</v>
      </c>
      <c r="O42" s="9" t="n">
        <v>35</v>
      </c>
      <c r="P42" s="9" t="n">
        <v>20</v>
      </c>
      <c r="Q42" s="9" t="n">
        <v>0</v>
      </c>
      <c r="R42" s="9" t="n">
        <v>10</v>
      </c>
      <c r="S42" s="9" t="n">
        <v>164</v>
      </c>
      <c r="T42" s="9" t="n">
        <v>67.81</v>
      </c>
    </row>
    <row r="43">
      <c r="A43" s="8" t="n">
        <v>33</v>
      </c>
      <c r="B43" s="8" t="inlineStr">
        <is>
          <t>合川区</t>
        </is>
      </c>
      <c r="C43" s="8" t="n">
        <v>7</v>
      </c>
      <c r="D43" s="8" t="n">
        <v>6</v>
      </c>
      <c r="E43" s="8" t="n">
        <v>9</v>
      </c>
      <c r="F43" s="8" t="n">
        <v>14</v>
      </c>
      <c r="G43" s="8" t="n">
        <v>4</v>
      </c>
      <c r="H43" s="8" t="n">
        <v>11</v>
      </c>
      <c r="I43" s="8" t="n">
        <v>44</v>
      </c>
      <c r="J43" s="8" t="n">
        <v>1</v>
      </c>
      <c r="K43" s="8" t="n">
        <v>13</v>
      </c>
      <c r="L43" s="8" t="n">
        <v>10</v>
      </c>
      <c r="M43" s="8" t="n">
        <v>58</v>
      </c>
      <c r="N43" s="8" t="n">
        <v>13</v>
      </c>
      <c r="O43" s="8" t="n">
        <v>54</v>
      </c>
      <c r="P43" s="8" t="n">
        <v>25</v>
      </c>
      <c r="Q43" s="8" t="n">
        <v>1</v>
      </c>
      <c r="R43" s="8" t="n">
        <v>19</v>
      </c>
      <c r="S43" s="8" t="n">
        <v>162</v>
      </c>
      <c r="T43" s="8" t="n">
        <v>67.70999999999999</v>
      </c>
    </row>
    <row r="44">
      <c r="A44" s="9" t="n">
        <v>34</v>
      </c>
      <c r="B44" s="9" t="inlineStr">
        <is>
          <t>綦江区</t>
        </is>
      </c>
      <c r="C44" s="9" t="n">
        <v>0</v>
      </c>
      <c r="D44" s="9" t="n">
        <v>10</v>
      </c>
      <c r="E44" s="9" t="n">
        <v>7</v>
      </c>
      <c r="F44" s="9" t="n">
        <v>5</v>
      </c>
      <c r="G44" s="9" t="n">
        <v>3</v>
      </c>
      <c r="H44" s="9" t="n">
        <v>12</v>
      </c>
      <c r="I44" s="9" t="n">
        <v>17</v>
      </c>
      <c r="J44" s="9" t="n">
        <v>3</v>
      </c>
      <c r="K44" s="9" t="n">
        <v>1</v>
      </c>
      <c r="L44" s="9" t="n">
        <v>16</v>
      </c>
      <c r="M44" s="9" t="n">
        <v>70</v>
      </c>
      <c r="N44" s="9" t="n">
        <v>41</v>
      </c>
      <c r="O44" s="9" t="n">
        <v>42</v>
      </c>
      <c r="P44" s="9" t="n">
        <v>15</v>
      </c>
      <c r="Q44" s="9" t="n">
        <v>0</v>
      </c>
      <c r="R44" s="9" t="n">
        <v>12</v>
      </c>
      <c r="S44" s="9" t="n">
        <v>158</v>
      </c>
      <c r="T44" s="9" t="n">
        <v>67.51000000000001</v>
      </c>
    </row>
    <row r="45">
      <c r="A45" s="8" t="n">
        <v>35</v>
      </c>
      <c r="B45" s="8" t="inlineStr">
        <is>
          <t>垫江县</t>
        </is>
      </c>
      <c r="C45" s="8" t="n">
        <v>0</v>
      </c>
      <c r="D45" s="8" t="n">
        <v>7</v>
      </c>
      <c r="E45" s="8" t="n">
        <v>5</v>
      </c>
      <c r="F45" s="8" t="n">
        <v>18</v>
      </c>
      <c r="G45" s="8" t="n">
        <v>2</v>
      </c>
      <c r="H45" s="8" t="n">
        <v>12</v>
      </c>
      <c r="I45" s="8" t="n">
        <v>18</v>
      </c>
      <c r="J45" s="8" t="n">
        <v>0</v>
      </c>
      <c r="K45" s="8" t="n">
        <v>0</v>
      </c>
      <c r="L45" s="8" t="n">
        <v>3</v>
      </c>
      <c r="M45" s="8" t="n">
        <v>50</v>
      </c>
      <c r="N45" s="8" t="n">
        <v>43</v>
      </c>
      <c r="O45" s="8" t="n">
        <v>59</v>
      </c>
      <c r="P45" s="8" t="n">
        <v>25</v>
      </c>
      <c r="Q45" s="8" t="n">
        <v>1</v>
      </c>
      <c r="R45" s="8" t="n">
        <v>9</v>
      </c>
      <c r="S45" s="8" t="n">
        <v>157</v>
      </c>
      <c r="T45" s="8" t="n">
        <v>67.45999999999999</v>
      </c>
    </row>
    <row r="46">
      <c r="A46" s="9" t="n">
        <v>36</v>
      </c>
      <c r="B46" s="9" t="inlineStr">
        <is>
          <t>璧山区</t>
        </is>
      </c>
      <c r="C46" s="9" t="n">
        <v>7</v>
      </c>
      <c r="D46" s="9" t="n">
        <v>10</v>
      </c>
      <c r="E46" s="9" t="n">
        <v>9</v>
      </c>
      <c r="F46" s="9" t="n">
        <v>10</v>
      </c>
      <c r="G46" s="9" t="n">
        <v>2</v>
      </c>
      <c r="H46" s="9" t="n">
        <v>10</v>
      </c>
      <c r="I46" s="9" t="n">
        <v>16</v>
      </c>
      <c r="J46" s="9" t="n">
        <v>1</v>
      </c>
      <c r="K46" s="9" t="n">
        <v>4</v>
      </c>
      <c r="L46" s="9" t="n">
        <v>4</v>
      </c>
      <c r="M46" s="9" t="n">
        <v>57</v>
      </c>
      <c r="N46" s="9" t="n">
        <v>32</v>
      </c>
      <c r="O46" s="9" t="n">
        <v>39</v>
      </c>
      <c r="P46" s="9" t="n">
        <v>19</v>
      </c>
      <c r="Q46" s="9" t="n">
        <v>4</v>
      </c>
      <c r="R46" s="9" t="n">
        <v>12</v>
      </c>
      <c r="S46" s="9" t="n">
        <v>147</v>
      </c>
      <c r="T46" s="9" t="n">
        <v>66.95999999999999</v>
      </c>
    </row>
    <row r="47">
      <c r="A47" s="8" t="n">
        <v>37</v>
      </c>
      <c r="B47" s="8" t="inlineStr">
        <is>
          <t>万盛经开区</t>
        </is>
      </c>
      <c r="C47" s="8" t="n">
        <v>2</v>
      </c>
      <c r="D47" s="8" t="n">
        <v>16</v>
      </c>
      <c r="E47" s="8" t="n">
        <v>4</v>
      </c>
      <c r="F47" s="8" t="n">
        <v>11</v>
      </c>
      <c r="G47" s="8" t="n">
        <v>4</v>
      </c>
      <c r="H47" s="8" t="n">
        <v>15</v>
      </c>
      <c r="I47" s="8" t="n">
        <v>10</v>
      </c>
      <c r="J47" s="8" t="n">
        <v>0</v>
      </c>
      <c r="K47" s="8" t="n">
        <v>1</v>
      </c>
      <c r="L47" s="8" t="n">
        <v>9</v>
      </c>
      <c r="M47" s="8" t="n">
        <v>47</v>
      </c>
      <c r="N47" s="8" t="n">
        <v>39</v>
      </c>
      <c r="O47" s="8" t="n">
        <v>51</v>
      </c>
      <c r="P47" s="8" t="n">
        <v>8</v>
      </c>
      <c r="Q47" s="8" t="n">
        <v>0</v>
      </c>
      <c r="R47" s="8" t="n">
        <v>5</v>
      </c>
      <c r="S47" s="8" t="n">
        <v>141</v>
      </c>
      <c r="T47" s="8" t="n">
        <v>66.66</v>
      </c>
    </row>
    <row r="48">
      <c r="A48" s="9" t="n">
        <v>38</v>
      </c>
      <c r="B48" s="9" t="inlineStr">
        <is>
          <t>潼南区</t>
        </is>
      </c>
      <c r="C48" s="9" t="n">
        <v>2</v>
      </c>
      <c r="D48" s="9" t="n">
        <v>15</v>
      </c>
      <c r="E48" s="9" t="n">
        <v>9</v>
      </c>
      <c r="F48" s="9" t="n">
        <v>10</v>
      </c>
      <c r="G48" s="9" t="n">
        <v>2</v>
      </c>
      <c r="H48" s="9" t="n">
        <v>14</v>
      </c>
      <c r="I48" s="9" t="n">
        <v>22</v>
      </c>
      <c r="J48" s="9" t="n">
        <v>1</v>
      </c>
      <c r="K48" s="9" t="n">
        <v>0</v>
      </c>
      <c r="L48" s="9" t="n">
        <v>5</v>
      </c>
      <c r="M48" s="9" t="n">
        <v>52</v>
      </c>
      <c r="N48" s="9" t="n">
        <v>28</v>
      </c>
      <c r="O48" s="9" t="n">
        <v>48</v>
      </c>
      <c r="P48" s="9" t="n">
        <v>14</v>
      </c>
      <c r="Q48" s="9" t="n">
        <v>1</v>
      </c>
      <c r="R48" s="9" t="n">
        <v>11</v>
      </c>
      <c r="S48" s="9" t="n">
        <v>131</v>
      </c>
      <c r="T48" s="9" t="n">
        <v>66.15000000000001</v>
      </c>
    </row>
    <row r="49">
      <c r="A49" s="8" t="n">
        <v>39</v>
      </c>
      <c r="B49" s="8" t="inlineStr">
        <is>
          <t>巫溪县</t>
        </is>
      </c>
      <c r="C49" s="8" t="n">
        <v>1</v>
      </c>
      <c r="D49" s="8" t="n">
        <v>14</v>
      </c>
      <c r="E49" s="8" t="n">
        <v>4</v>
      </c>
      <c r="F49" s="8" t="n">
        <v>15</v>
      </c>
      <c r="G49" s="8" t="n">
        <v>16</v>
      </c>
      <c r="H49" s="8" t="n">
        <v>6</v>
      </c>
      <c r="I49" s="8" t="n">
        <v>7</v>
      </c>
      <c r="J49" s="8" t="n">
        <v>0</v>
      </c>
      <c r="K49" s="8" t="n">
        <v>2</v>
      </c>
      <c r="L49" s="8" t="n">
        <v>13</v>
      </c>
      <c r="M49" s="8" t="n">
        <v>41</v>
      </c>
      <c r="N49" s="8" t="n">
        <v>35</v>
      </c>
      <c r="O49" s="8" t="n">
        <v>24</v>
      </c>
      <c r="P49" s="8" t="n">
        <v>7</v>
      </c>
      <c r="Q49" s="8" t="n">
        <v>0</v>
      </c>
      <c r="R49" s="8" t="n">
        <v>10</v>
      </c>
      <c r="S49" s="8" t="n">
        <v>108</v>
      </c>
      <c r="T49" s="8" t="n">
        <v>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</cols>
  <sheetData>
    <row r="1">
      <c r="A1" s="5" t="inlineStr">
        <is>
          <t>衡量指标</t>
        </is>
      </c>
      <c r="B1" s="6" t="inlineStr">
        <is>
          <t>市级媒体-主题丰富度</t>
        </is>
      </c>
    </row>
    <row r="2">
      <c r="A2" s="5" t="inlineStr">
        <is>
          <t>一级权重</t>
        </is>
      </c>
      <c r="B2" s="6" t="inlineStr">
        <is>
          <t>15%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上游/华龙/视界网/重庆日报/ichongqing/七一网 6 家</t>
        </is>
      </c>
    </row>
    <row r="5">
      <c r="A5" s="5" t="inlineStr">
        <is>
          <t>公式</t>
        </is>
      </c>
      <c r="B5" s="6" t="inlineStr">
        <is>
          <t>F = 1 / Σ |p_t − 1/N| ; p_t = 某主题命中数 / 该(区县,tier)总命中 ; N=16</t>
        </is>
      </c>
    </row>
    <row r="6">
      <c r="A6" s="5" t="inlineStr">
        <is>
          <t>中间列说明</t>
        </is>
      </c>
      <c r="B6" s="6" t="inlineStr">
        <is>
          <t>16 主题占比 (%) → |p_t − 1/16| 各项 → Σ → F = 1/Σ → 区间化得分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 F 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低碳经济占比%</t>
        </is>
      </c>
      <c r="D10" s="7" t="inlineStr">
        <is>
          <t>制度建设占比%</t>
        </is>
      </c>
      <c r="E10" s="7" t="inlineStr">
        <is>
          <t>双碳占比%</t>
        </is>
      </c>
      <c r="F10" s="7" t="inlineStr">
        <is>
          <t>和谐共生占比%</t>
        </is>
      </c>
      <c r="G10" s="7" t="inlineStr">
        <is>
          <t>国家公园占比%</t>
        </is>
      </c>
      <c r="H10" s="7" t="inlineStr">
        <is>
          <t>污染防治攻坚战占比%</t>
        </is>
      </c>
      <c r="I10" s="7" t="inlineStr">
        <is>
          <t>清洁能源占比%</t>
        </is>
      </c>
      <c r="J10" s="7" t="inlineStr">
        <is>
          <t>环保督察占比%</t>
        </is>
      </c>
      <c r="K10" s="7" t="inlineStr">
        <is>
          <t>生态红线占比%</t>
        </is>
      </c>
      <c r="L10" s="7" t="inlineStr">
        <is>
          <t>生物多样性占比%</t>
        </is>
      </c>
      <c r="M10" s="7" t="inlineStr">
        <is>
          <t>综合治理占比%</t>
        </is>
      </c>
      <c r="N10" s="7" t="inlineStr">
        <is>
          <t>绿水青山占比%</t>
        </is>
      </c>
      <c r="O10" s="7" t="inlineStr">
        <is>
          <t>绿色发展占比%</t>
        </is>
      </c>
      <c r="P10" s="7" t="inlineStr">
        <is>
          <t>美丽中国占比%</t>
        </is>
      </c>
      <c r="Q10" s="7" t="inlineStr">
        <is>
          <t>资源节约占比%</t>
        </is>
      </c>
      <c r="R10" s="7" t="inlineStr">
        <is>
          <t>长江生态占比%</t>
        </is>
      </c>
      <c r="S10" s="7" t="inlineStr">
        <is>
          <t>|低碳经济-1/16|</t>
        </is>
      </c>
      <c r="T10" s="7" t="inlineStr">
        <is>
          <t>|制度建设-1/16|</t>
        </is>
      </c>
      <c r="U10" s="7" t="inlineStr">
        <is>
          <t>|双碳-1/16|</t>
        </is>
      </c>
      <c r="V10" s="7" t="inlineStr">
        <is>
          <t>|和谐共生-1/16|</t>
        </is>
      </c>
      <c r="W10" s="7" t="inlineStr">
        <is>
          <t>|国家公园-1/16|</t>
        </is>
      </c>
      <c r="X10" s="7" t="inlineStr">
        <is>
          <t>|污染防治攻坚战-1/16|</t>
        </is>
      </c>
      <c r="Y10" s="7" t="inlineStr">
        <is>
          <t>|清洁能源-1/16|</t>
        </is>
      </c>
      <c r="Z10" s="7" t="inlineStr">
        <is>
          <t>|环保督察-1/16|</t>
        </is>
      </c>
      <c r="AA10" s="7" t="inlineStr">
        <is>
          <t>|生态红线-1/16|</t>
        </is>
      </c>
      <c r="AB10" s="7" t="inlineStr">
        <is>
          <t>|生物多样性-1/16|</t>
        </is>
      </c>
      <c r="AC10" s="7" t="inlineStr">
        <is>
          <t>|综合治理-1/16|</t>
        </is>
      </c>
      <c r="AD10" s="7" t="inlineStr">
        <is>
          <t>|绿水青山-1/16|</t>
        </is>
      </c>
      <c r="AE10" s="7" t="inlineStr">
        <is>
          <t>|绿色发展-1/16|</t>
        </is>
      </c>
      <c r="AF10" s="7" t="inlineStr">
        <is>
          <t>|美丽中国-1/16|</t>
        </is>
      </c>
      <c r="AG10" s="7" t="inlineStr">
        <is>
          <t>|资源节约-1/16|</t>
        </is>
      </c>
      <c r="AH10" s="7" t="inlineStr">
        <is>
          <t>|长江生态-1/16|</t>
        </is>
      </c>
      <c r="AI10" s="7" t="inlineStr">
        <is>
          <t>Σ|p-1/16|</t>
        </is>
      </c>
      <c r="AJ10" s="7" t="inlineStr">
        <is>
          <t>F = 1/Σ</t>
        </is>
      </c>
      <c r="AK10" s="7" t="inlineStr">
        <is>
          <t>丰富度得分 (65-95)</t>
        </is>
      </c>
    </row>
    <row r="11">
      <c r="A11" s="8" t="n">
        <v>1</v>
      </c>
      <c r="B11" s="8" t="inlineStr">
        <is>
          <t>两江新区</t>
        </is>
      </c>
      <c r="C11" s="8" t="n">
        <v>7.22</v>
      </c>
      <c r="D11" s="8" t="n">
        <v>6.09</v>
      </c>
      <c r="E11" s="8" t="n">
        <v>4.87</v>
      </c>
      <c r="F11" s="8" t="n">
        <v>5.74</v>
      </c>
      <c r="G11" s="8" t="n">
        <v>0.61</v>
      </c>
      <c r="H11" s="8" t="n">
        <v>2.35</v>
      </c>
      <c r="I11" s="8" t="n">
        <v>6.61</v>
      </c>
      <c r="J11" s="8" t="n">
        <v>0.52</v>
      </c>
      <c r="K11" s="8" t="n">
        <v>0.52</v>
      </c>
      <c r="L11" s="8" t="n">
        <v>3.22</v>
      </c>
      <c r="M11" s="8" t="n">
        <v>19.32</v>
      </c>
      <c r="N11" s="8" t="n">
        <v>7.31</v>
      </c>
      <c r="O11" s="8" t="n">
        <v>20.19</v>
      </c>
      <c r="P11" s="8" t="n">
        <v>7.48</v>
      </c>
      <c r="Q11" s="8" t="n">
        <v>1.57</v>
      </c>
      <c r="R11" s="8" t="n">
        <v>6.35</v>
      </c>
      <c r="S11" s="8" t="n">
        <v>0.0097</v>
      </c>
      <c r="T11" s="8" t="n">
        <v>0.0016</v>
      </c>
      <c r="U11" s="8" t="n">
        <v>0.0138</v>
      </c>
      <c r="V11" s="8" t="n">
        <v>0.0051</v>
      </c>
      <c r="W11" s="8" t="n">
        <v>0.0564</v>
      </c>
      <c r="X11" s="8" t="n">
        <v>0.039</v>
      </c>
      <c r="Y11" s="8" t="n">
        <v>0.0036</v>
      </c>
      <c r="Z11" s="8" t="n">
        <v>0.0573</v>
      </c>
      <c r="AA11" s="8" t="n">
        <v>0.0573</v>
      </c>
      <c r="AB11" s="8" t="n">
        <v>0.0303</v>
      </c>
      <c r="AC11" s="8" t="n">
        <v>0.1307</v>
      </c>
      <c r="AD11" s="8" t="n">
        <v>0.0106</v>
      </c>
      <c r="AE11" s="8" t="n">
        <v>0.1394</v>
      </c>
      <c r="AF11" s="8" t="n">
        <v>0.0123</v>
      </c>
      <c r="AG11" s="8" t="n">
        <v>0.0468</v>
      </c>
      <c r="AH11" s="8" t="n">
        <v>0.001</v>
      </c>
      <c r="AI11" s="8" t="n">
        <v>0.615</v>
      </c>
      <c r="AJ11" s="8" t="n">
        <v>1.626</v>
      </c>
      <c r="AK11" s="8" t="n">
        <v>95</v>
      </c>
    </row>
    <row r="12">
      <c r="A12" s="9" t="n">
        <v>2</v>
      </c>
      <c r="B12" s="9" t="inlineStr">
        <is>
          <t>南岸区</t>
        </is>
      </c>
      <c r="C12" s="9" t="n">
        <v>2.6</v>
      </c>
      <c r="D12" s="9" t="n">
        <v>5.73</v>
      </c>
      <c r="E12" s="9" t="n">
        <v>3.91</v>
      </c>
      <c r="F12" s="9" t="n">
        <v>6.25</v>
      </c>
      <c r="G12" s="9" t="n">
        <v>1.82</v>
      </c>
      <c r="H12" s="9" t="n">
        <v>4.43</v>
      </c>
      <c r="I12" s="9" t="n">
        <v>3.91</v>
      </c>
      <c r="J12" s="9" t="n">
        <v>0.26</v>
      </c>
      <c r="K12" s="9" t="n">
        <v>0.78</v>
      </c>
      <c r="L12" s="9" t="n">
        <v>6.25</v>
      </c>
      <c r="M12" s="9" t="n">
        <v>26.82</v>
      </c>
      <c r="N12" s="9" t="n">
        <v>6.25</v>
      </c>
      <c r="O12" s="9" t="n">
        <v>17.45</v>
      </c>
      <c r="P12" s="9" t="n">
        <v>4.43</v>
      </c>
      <c r="Q12" s="9" t="n">
        <v>0</v>
      </c>
      <c r="R12" s="9" t="n">
        <v>9.109999999999999</v>
      </c>
      <c r="S12" s="9" t="n">
        <v>0.0365</v>
      </c>
      <c r="T12" s="9" t="n">
        <v>0.0052</v>
      </c>
      <c r="U12" s="9" t="n">
        <v>0.0234</v>
      </c>
      <c r="V12" s="9" t="n">
        <v>0</v>
      </c>
      <c r="W12" s="9" t="n">
        <v>0.0443</v>
      </c>
      <c r="X12" s="9" t="n">
        <v>0.0182</v>
      </c>
      <c r="Y12" s="9" t="n">
        <v>0.0234</v>
      </c>
      <c r="Z12" s="9" t="n">
        <v>0.0599</v>
      </c>
      <c r="AA12" s="9" t="n">
        <v>0.0547</v>
      </c>
      <c r="AB12" s="9" t="n">
        <v>0</v>
      </c>
      <c r="AC12" s="9" t="n">
        <v>0.2057</v>
      </c>
      <c r="AD12" s="9" t="n">
        <v>0</v>
      </c>
      <c r="AE12" s="9" t="n">
        <v>0.112</v>
      </c>
      <c r="AF12" s="9" t="n">
        <v>0.0182</v>
      </c>
      <c r="AG12" s="9" t="n">
        <v>0.0625</v>
      </c>
      <c r="AH12" s="9" t="n">
        <v>0.0286</v>
      </c>
      <c r="AI12" s="9" t="n">
        <v>0.6927</v>
      </c>
      <c r="AJ12" s="9" t="n">
        <v>1.4436</v>
      </c>
      <c r="AK12" s="9" t="n">
        <v>85.27</v>
      </c>
    </row>
    <row r="13">
      <c r="A13" s="8" t="n">
        <v>3</v>
      </c>
      <c r="B13" s="8" t="inlineStr">
        <is>
          <t>渝中区</t>
        </is>
      </c>
      <c r="C13" s="8" t="n">
        <v>2.84</v>
      </c>
      <c r="D13" s="8" t="n">
        <v>4.42</v>
      </c>
      <c r="E13" s="8" t="n">
        <v>2.84</v>
      </c>
      <c r="F13" s="8" t="n">
        <v>8.68</v>
      </c>
      <c r="G13" s="8" t="n">
        <v>1.42</v>
      </c>
      <c r="H13" s="8" t="n">
        <v>3.79</v>
      </c>
      <c r="I13" s="8" t="n">
        <v>5.84</v>
      </c>
      <c r="J13" s="8" t="n">
        <v>0.16</v>
      </c>
      <c r="K13" s="8" t="n">
        <v>0.79</v>
      </c>
      <c r="L13" s="8" t="n">
        <v>4.57</v>
      </c>
      <c r="M13" s="8" t="n">
        <v>26.81</v>
      </c>
      <c r="N13" s="8" t="n">
        <v>5.52</v>
      </c>
      <c r="O13" s="8" t="n">
        <v>14.2</v>
      </c>
      <c r="P13" s="8" t="n">
        <v>6.94</v>
      </c>
      <c r="Q13" s="8" t="n">
        <v>1.89</v>
      </c>
      <c r="R13" s="8" t="n">
        <v>9.31</v>
      </c>
      <c r="S13" s="8" t="n">
        <v>0.0341</v>
      </c>
      <c r="T13" s="8" t="n">
        <v>0.0183</v>
      </c>
      <c r="U13" s="8" t="n">
        <v>0.0341</v>
      </c>
      <c r="V13" s="8" t="n">
        <v>0.0243</v>
      </c>
      <c r="W13" s="8" t="n">
        <v>0.0483</v>
      </c>
      <c r="X13" s="8" t="n">
        <v>0.0246</v>
      </c>
      <c r="Y13" s="8" t="n">
        <v>0.0041</v>
      </c>
      <c r="Z13" s="8" t="n">
        <v>0.0609</v>
      </c>
      <c r="AA13" s="8" t="n">
        <v>0.0546</v>
      </c>
      <c r="AB13" s="8" t="n">
        <v>0.0168</v>
      </c>
      <c r="AC13" s="8" t="n">
        <v>0.2056</v>
      </c>
      <c r="AD13" s="8" t="n">
        <v>0.0073</v>
      </c>
      <c r="AE13" s="8" t="n">
        <v>0.0795</v>
      </c>
      <c r="AF13" s="8" t="n">
        <v>0.0069</v>
      </c>
      <c r="AG13" s="8" t="n">
        <v>0.0436</v>
      </c>
      <c r="AH13" s="8" t="n">
        <v>0.0306</v>
      </c>
      <c r="AI13" s="8" t="n">
        <v>0.6936</v>
      </c>
      <c r="AJ13" s="8" t="n">
        <v>1.4417</v>
      </c>
      <c r="AK13" s="8" t="n">
        <v>85.17</v>
      </c>
    </row>
    <row r="14">
      <c r="A14" s="9" t="n">
        <v>4</v>
      </c>
      <c r="B14" s="9" t="inlineStr">
        <is>
          <t>永川区</t>
        </is>
      </c>
      <c r="C14" s="9" t="n">
        <v>1.96</v>
      </c>
      <c r="D14" s="9" t="n">
        <v>4.41</v>
      </c>
      <c r="E14" s="9" t="n">
        <v>2.94</v>
      </c>
      <c r="F14" s="9" t="n">
        <v>4.17</v>
      </c>
      <c r="G14" s="9" t="n">
        <v>3.92</v>
      </c>
      <c r="H14" s="9" t="n">
        <v>4.17</v>
      </c>
      <c r="I14" s="9" t="n">
        <v>6.62</v>
      </c>
      <c r="J14" s="9" t="n">
        <v>0</v>
      </c>
      <c r="K14" s="9" t="n">
        <v>2.7</v>
      </c>
      <c r="L14" s="9" t="n">
        <v>3.43</v>
      </c>
      <c r="M14" s="9" t="n">
        <v>22.55</v>
      </c>
      <c r="N14" s="9" t="n">
        <v>10.05</v>
      </c>
      <c r="O14" s="9" t="n">
        <v>19.36</v>
      </c>
      <c r="P14" s="9" t="n">
        <v>5.15</v>
      </c>
      <c r="Q14" s="9" t="n">
        <v>0.74</v>
      </c>
      <c r="R14" s="9" t="n">
        <v>7.84</v>
      </c>
      <c r="S14" s="9" t="n">
        <v>0.0429</v>
      </c>
      <c r="T14" s="9" t="n">
        <v>0.0184</v>
      </c>
      <c r="U14" s="9" t="n">
        <v>0.0331</v>
      </c>
      <c r="V14" s="9" t="n">
        <v>0.0208</v>
      </c>
      <c r="W14" s="9" t="n">
        <v>0.0233</v>
      </c>
      <c r="X14" s="9" t="n">
        <v>0.0208</v>
      </c>
      <c r="Y14" s="9" t="n">
        <v>0.0037</v>
      </c>
      <c r="Z14" s="9" t="n">
        <v>0.0625</v>
      </c>
      <c r="AA14" s="9" t="n">
        <v>0.0355</v>
      </c>
      <c r="AB14" s="9" t="n">
        <v>0.0282</v>
      </c>
      <c r="AC14" s="9" t="n">
        <v>0.163</v>
      </c>
      <c r="AD14" s="9" t="n">
        <v>0.038</v>
      </c>
      <c r="AE14" s="9" t="n">
        <v>0.1311</v>
      </c>
      <c r="AF14" s="9" t="n">
        <v>0.011</v>
      </c>
      <c r="AG14" s="9" t="n">
        <v>0.0551</v>
      </c>
      <c r="AH14" s="9" t="n">
        <v>0.0159</v>
      </c>
      <c r="AI14" s="9" t="n">
        <v>0.7034</v>
      </c>
      <c r="AJ14" s="9" t="n">
        <v>1.4216</v>
      </c>
      <c r="AK14" s="9" t="n">
        <v>84.09999999999999</v>
      </c>
    </row>
    <row r="15">
      <c r="A15" s="8" t="n">
        <v>5</v>
      </c>
      <c r="B15" s="8" t="inlineStr">
        <is>
          <t>巫山县</t>
        </is>
      </c>
      <c r="C15" s="8" t="n">
        <v>0.62</v>
      </c>
      <c r="D15" s="8" t="n">
        <v>7.26</v>
      </c>
      <c r="E15" s="8" t="n">
        <v>2.63</v>
      </c>
      <c r="F15" s="8" t="n">
        <v>3.71</v>
      </c>
      <c r="G15" s="8" t="n">
        <v>1.7</v>
      </c>
      <c r="H15" s="8" t="n">
        <v>4.33</v>
      </c>
      <c r="I15" s="8" t="n">
        <v>8.5</v>
      </c>
      <c r="J15" s="8" t="n">
        <v>0.15</v>
      </c>
      <c r="K15" s="8" t="n">
        <v>2.47</v>
      </c>
      <c r="L15" s="8" t="n">
        <v>4.33</v>
      </c>
      <c r="M15" s="8" t="n">
        <v>16.54</v>
      </c>
      <c r="N15" s="8" t="n">
        <v>14.53</v>
      </c>
      <c r="O15" s="8" t="n">
        <v>16.23</v>
      </c>
      <c r="P15" s="8" t="n">
        <v>6.8</v>
      </c>
      <c r="Q15" s="8" t="n">
        <v>0.15</v>
      </c>
      <c r="R15" s="8" t="n">
        <v>10.05</v>
      </c>
      <c r="S15" s="8" t="n">
        <v>0.0563</v>
      </c>
      <c r="T15" s="8" t="n">
        <v>0.0101</v>
      </c>
      <c r="U15" s="8" t="n">
        <v>0.0362</v>
      </c>
      <c r="V15" s="8" t="n">
        <v>0.0254</v>
      </c>
      <c r="W15" s="8" t="n">
        <v>0.0455</v>
      </c>
      <c r="X15" s="8" t="n">
        <v>0.0192</v>
      </c>
      <c r="Y15" s="8" t="n">
        <v>0.0225</v>
      </c>
      <c r="Z15" s="8" t="n">
        <v>0.061</v>
      </c>
      <c r="AA15" s="8" t="n">
        <v>0.0378</v>
      </c>
      <c r="AB15" s="8" t="n">
        <v>0.0192</v>
      </c>
      <c r="AC15" s="8" t="n">
        <v>0.1029</v>
      </c>
      <c r="AD15" s="8" t="n">
        <v>0.0828</v>
      </c>
      <c r="AE15" s="8" t="n">
        <v>0.0998</v>
      </c>
      <c r="AF15" s="8" t="n">
        <v>0.0055</v>
      </c>
      <c r="AG15" s="8" t="n">
        <v>0.061</v>
      </c>
      <c r="AH15" s="8" t="n">
        <v>0.038</v>
      </c>
      <c r="AI15" s="8" t="n">
        <v>0.7231</v>
      </c>
      <c r="AJ15" s="8" t="n">
        <v>1.3828</v>
      </c>
      <c r="AK15" s="8" t="n">
        <v>82.04000000000001</v>
      </c>
    </row>
    <row r="16">
      <c r="A16" s="9" t="n">
        <v>6</v>
      </c>
      <c r="B16" s="9" t="inlineStr">
        <is>
          <t>巫溪县</t>
        </is>
      </c>
      <c r="C16" s="9" t="n">
        <v>0.51</v>
      </c>
      <c r="D16" s="9" t="n">
        <v>7.18</v>
      </c>
      <c r="E16" s="9" t="n">
        <v>2.05</v>
      </c>
      <c r="F16" s="9" t="n">
        <v>7.69</v>
      </c>
      <c r="G16" s="9" t="n">
        <v>8.210000000000001</v>
      </c>
      <c r="H16" s="9" t="n">
        <v>3.08</v>
      </c>
      <c r="I16" s="9" t="n">
        <v>3.59</v>
      </c>
      <c r="J16" s="9" t="n">
        <v>0</v>
      </c>
      <c r="K16" s="9" t="n">
        <v>1.03</v>
      </c>
      <c r="L16" s="9" t="n">
        <v>6.67</v>
      </c>
      <c r="M16" s="9" t="n">
        <v>21.03</v>
      </c>
      <c r="N16" s="9" t="n">
        <v>17.95</v>
      </c>
      <c r="O16" s="9" t="n">
        <v>12.31</v>
      </c>
      <c r="P16" s="9" t="n">
        <v>3.59</v>
      </c>
      <c r="Q16" s="9" t="n">
        <v>0</v>
      </c>
      <c r="R16" s="9" t="n">
        <v>5.13</v>
      </c>
      <c r="S16" s="9" t="n">
        <v>0.0574</v>
      </c>
      <c r="T16" s="9" t="n">
        <v>0.009299999999999999</v>
      </c>
      <c r="U16" s="9" t="n">
        <v>0.042</v>
      </c>
      <c r="V16" s="9" t="n">
        <v>0.0144</v>
      </c>
      <c r="W16" s="9" t="n">
        <v>0.0196</v>
      </c>
      <c r="X16" s="9" t="n">
        <v>0.0317</v>
      </c>
      <c r="Y16" s="9" t="n">
        <v>0.0266</v>
      </c>
      <c r="Z16" s="9" t="n">
        <v>0.0625</v>
      </c>
      <c r="AA16" s="9" t="n">
        <v>0.0522</v>
      </c>
      <c r="AB16" s="9" t="n">
        <v>0.0042</v>
      </c>
      <c r="AC16" s="9" t="n">
        <v>0.1478</v>
      </c>
      <c r="AD16" s="9" t="n">
        <v>0.117</v>
      </c>
      <c r="AE16" s="9" t="n">
        <v>0.0606</v>
      </c>
      <c r="AF16" s="9" t="n">
        <v>0.0266</v>
      </c>
      <c r="AG16" s="9" t="n">
        <v>0.0625</v>
      </c>
      <c r="AH16" s="9" t="n">
        <v>0.0112</v>
      </c>
      <c r="AI16" s="9" t="n">
        <v>0.7455000000000001</v>
      </c>
      <c r="AJ16" s="9" t="n">
        <v>1.3414</v>
      </c>
      <c r="AK16" s="9" t="n">
        <v>79.81999999999999</v>
      </c>
    </row>
    <row r="17">
      <c r="A17" s="8" t="n">
        <v>7</v>
      </c>
      <c r="B17" s="8" t="inlineStr">
        <is>
          <t>忠县</t>
        </is>
      </c>
      <c r="C17" s="8" t="n">
        <v>0.36</v>
      </c>
      <c r="D17" s="8" t="n">
        <v>7.16</v>
      </c>
      <c r="E17" s="8" t="n">
        <v>1.61</v>
      </c>
      <c r="F17" s="8" t="n">
        <v>5.55</v>
      </c>
      <c r="G17" s="8" t="n">
        <v>1.25</v>
      </c>
      <c r="H17" s="8" t="n">
        <v>3.58</v>
      </c>
      <c r="I17" s="8" t="n">
        <v>6.62</v>
      </c>
      <c r="J17" s="8" t="n">
        <v>0</v>
      </c>
      <c r="K17" s="8" t="n">
        <v>3.58</v>
      </c>
      <c r="L17" s="8" t="n">
        <v>3.58</v>
      </c>
      <c r="M17" s="8" t="n">
        <v>22</v>
      </c>
      <c r="N17" s="8" t="n">
        <v>13.95</v>
      </c>
      <c r="O17" s="8" t="n">
        <v>13.06</v>
      </c>
      <c r="P17" s="8" t="n">
        <v>5.19</v>
      </c>
      <c r="Q17" s="8" t="n">
        <v>0.18</v>
      </c>
      <c r="R17" s="8" t="n">
        <v>12.34</v>
      </c>
      <c r="S17" s="8" t="n">
        <v>0.0589</v>
      </c>
      <c r="T17" s="8" t="n">
        <v>0.0091</v>
      </c>
      <c r="U17" s="8" t="n">
        <v>0.0464</v>
      </c>
      <c r="V17" s="8" t="n">
        <v>0.007</v>
      </c>
      <c r="W17" s="8" t="n">
        <v>0.05</v>
      </c>
      <c r="X17" s="8" t="n">
        <v>0.0267</v>
      </c>
      <c r="Y17" s="8" t="n">
        <v>0.0037</v>
      </c>
      <c r="Z17" s="8" t="n">
        <v>0.0625</v>
      </c>
      <c r="AA17" s="8" t="n">
        <v>0.0267</v>
      </c>
      <c r="AB17" s="8" t="n">
        <v>0.0267</v>
      </c>
      <c r="AC17" s="8" t="n">
        <v>0.1575</v>
      </c>
      <c r="AD17" s="8" t="n">
        <v>0.077</v>
      </c>
      <c r="AE17" s="8" t="n">
        <v>0.06809999999999999</v>
      </c>
      <c r="AF17" s="8" t="n">
        <v>0.0106</v>
      </c>
      <c r="AG17" s="8" t="n">
        <v>0.0607</v>
      </c>
      <c r="AH17" s="8" t="n">
        <v>0.0609</v>
      </c>
      <c r="AI17" s="8" t="n">
        <v>0.7527</v>
      </c>
      <c r="AJ17" s="8" t="n">
        <v>1.3286</v>
      </c>
      <c r="AK17" s="8" t="n">
        <v>79.14</v>
      </c>
    </row>
    <row r="18">
      <c r="A18" s="9" t="n">
        <v>8</v>
      </c>
      <c r="B18" s="9" t="inlineStr">
        <is>
          <t>璧山区</t>
        </is>
      </c>
      <c r="C18" s="9" t="n">
        <v>2.97</v>
      </c>
      <c r="D18" s="9" t="n">
        <v>4.24</v>
      </c>
      <c r="E18" s="9" t="n">
        <v>3.81</v>
      </c>
      <c r="F18" s="9" t="n">
        <v>4.24</v>
      </c>
      <c r="G18" s="9" t="n">
        <v>0.85</v>
      </c>
      <c r="H18" s="9" t="n">
        <v>4.24</v>
      </c>
      <c r="I18" s="9" t="n">
        <v>6.78</v>
      </c>
      <c r="J18" s="9" t="n">
        <v>0.42</v>
      </c>
      <c r="K18" s="9" t="n">
        <v>1.69</v>
      </c>
      <c r="L18" s="9" t="n">
        <v>1.69</v>
      </c>
      <c r="M18" s="9" t="n">
        <v>24.15</v>
      </c>
      <c r="N18" s="9" t="n">
        <v>13.56</v>
      </c>
      <c r="O18" s="9" t="n">
        <v>16.53</v>
      </c>
      <c r="P18" s="9" t="n">
        <v>8.050000000000001</v>
      </c>
      <c r="Q18" s="9" t="n">
        <v>1.69</v>
      </c>
      <c r="R18" s="9" t="n">
        <v>5.08</v>
      </c>
      <c r="S18" s="9" t="n">
        <v>0.0328</v>
      </c>
      <c r="T18" s="9" t="n">
        <v>0.0201</v>
      </c>
      <c r="U18" s="9" t="n">
        <v>0.0244</v>
      </c>
      <c r="V18" s="9" t="n">
        <v>0.0201</v>
      </c>
      <c r="W18" s="9" t="n">
        <v>0.054</v>
      </c>
      <c r="X18" s="9" t="n">
        <v>0.0201</v>
      </c>
      <c r="Y18" s="9" t="n">
        <v>0.0053</v>
      </c>
      <c r="Z18" s="9" t="n">
        <v>0.0583</v>
      </c>
      <c r="AA18" s="9" t="n">
        <v>0.0456</v>
      </c>
      <c r="AB18" s="9" t="n">
        <v>0.0456</v>
      </c>
      <c r="AC18" s="9" t="n">
        <v>0.179</v>
      </c>
      <c r="AD18" s="9" t="n">
        <v>0.0731</v>
      </c>
      <c r="AE18" s="9" t="n">
        <v>0.1028</v>
      </c>
      <c r="AF18" s="9" t="n">
        <v>0.018</v>
      </c>
      <c r="AG18" s="9" t="n">
        <v>0.0456</v>
      </c>
      <c r="AH18" s="9" t="n">
        <v>0.0117</v>
      </c>
      <c r="AI18" s="9" t="n">
        <v>0.7564</v>
      </c>
      <c r="AJ18" s="9" t="n">
        <v>1.3221</v>
      </c>
      <c r="AK18" s="9" t="n">
        <v>78.8</v>
      </c>
    </row>
    <row r="19">
      <c r="A19" s="8" t="n">
        <v>9</v>
      </c>
      <c r="B19" s="8" t="inlineStr">
        <is>
          <t>合川区</t>
        </is>
      </c>
      <c r="C19" s="8" t="n">
        <v>2.42</v>
      </c>
      <c r="D19" s="8" t="n">
        <v>2.08</v>
      </c>
      <c r="E19" s="8" t="n">
        <v>3.11</v>
      </c>
      <c r="F19" s="8" t="n">
        <v>4.84</v>
      </c>
      <c r="G19" s="8" t="n">
        <v>1.38</v>
      </c>
      <c r="H19" s="8" t="n">
        <v>3.81</v>
      </c>
      <c r="I19" s="8" t="n">
        <v>15.22</v>
      </c>
      <c r="J19" s="8" t="n">
        <v>0.35</v>
      </c>
      <c r="K19" s="8" t="n">
        <v>4.5</v>
      </c>
      <c r="L19" s="8" t="n">
        <v>3.46</v>
      </c>
      <c r="M19" s="8" t="n">
        <v>20.07</v>
      </c>
      <c r="N19" s="8" t="n">
        <v>4.5</v>
      </c>
      <c r="O19" s="8" t="n">
        <v>18.69</v>
      </c>
      <c r="P19" s="8" t="n">
        <v>8.65</v>
      </c>
      <c r="Q19" s="8" t="n">
        <v>0.35</v>
      </c>
      <c r="R19" s="8" t="n">
        <v>6.57</v>
      </c>
      <c r="S19" s="8" t="n">
        <v>0.0383</v>
      </c>
      <c r="T19" s="8" t="n">
        <v>0.0417</v>
      </c>
      <c r="U19" s="8" t="n">
        <v>0.0314</v>
      </c>
      <c r="V19" s="8" t="n">
        <v>0.0141</v>
      </c>
      <c r="W19" s="8" t="n">
        <v>0.0487</v>
      </c>
      <c r="X19" s="8" t="n">
        <v>0.0244</v>
      </c>
      <c r="Y19" s="8" t="n">
        <v>0.0897</v>
      </c>
      <c r="Z19" s="8" t="n">
        <v>0.059</v>
      </c>
      <c r="AA19" s="8" t="n">
        <v>0.0175</v>
      </c>
      <c r="AB19" s="8" t="n">
        <v>0.0279</v>
      </c>
      <c r="AC19" s="8" t="n">
        <v>0.1382</v>
      </c>
      <c r="AD19" s="8" t="n">
        <v>0.0175</v>
      </c>
      <c r="AE19" s="8" t="n">
        <v>0.1244</v>
      </c>
      <c r="AF19" s="8" t="n">
        <v>0.024</v>
      </c>
      <c r="AG19" s="8" t="n">
        <v>0.059</v>
      </c>
      <c r="AH19" s="8" t="n">
        <v>0.0032</v>
      </c>
      <c r="AI19" s="8" t="n">
        <v>0.7591</v>
      </c>
      <c r="AJ19" s="8" t="n">
        <v>1.3174</v>
      </c>
      <c r="AK19" s="8" t="n">
        <v>78.55</v>
      </c>
    </row>
    <row r="20">
      <c r="A20" s="9" t="n">
        <v>10</v>
      </c>
      <c r="B20" s="9" t="inlineStr">
        <is>
          <t>丰都县</t>
        </is>
      </c>
      <c r="C20" s="9" t="n">
        <v>0.3</v>
      </c>
      <c r="D20" s="9" t="n">
        <v>4.8</v>
      </c>
      <c r="E20" s="9" t="n">
        <v>2.7</v>
      </c>
      <c r="F20" s="9" t="n">
        <v>5.11</v>
      </c>
      <c r="G20" s="9" t="n">
        <v>3</v>
      </c>
      <c r="H20" s="9" t="n">
        <v>2.1</v>
      </c>
      <c r="I20" s="9" t="n">
        <v>9.609999999999999</v>
      </c>
      <c r="J20" s="9" t="n">
        <v>2.7</v>
      </c>
      <c r="K20" s="9" t="n">
        <v>0.6</v>
      </c>
      <c r="L20" s="9" t="n">
        <v>3</v>
      </c>
      <c r="M20" s="9" t="n">
        <v>17.42</v>
      </c>
      <c r="N20" s="9" t="n">
        <v>15.32</v>
      </c>
      <c r="O20" s="9" t="n">
        <v>18.62</v>
      </c>
      <c r="P20" s="9" t="n">
        <v>6.31</v>
      </c>
      <c r="Q20" s="9" t="n">
        <v>0</v>
      </c>
      <c r="R20" s="9" t="n">
        <v>8.41</v>
      </c>
      <c r="S20" s="9" t="n">
        <v>0.0595</v>
      </c>
      <c r="T20" s="9" t="n">
        <v>0.0145</v>
      </c>
      <c r="U20" s="9" t="n">
        <v>0.0355</v>
      </c>
      <c r="V20" s="9" t="n">
        <v>0.0114</v>
      </c>
      <c r="W20" s="9" t="n">
        <v>0.0325</v>
      </c>
      <c r="X20" s="9" t="n">
        <v>0.0415</v>
      </c>
      <c r="Y20" s="9" t="n">
        <v>0.0336</v>
      </c>
      <c r="Z20" s="9" t="n">
        <v>0.0355</v>
      </c>
      <c r="AA20" s="9" t="n">
        <v>0.0565</v>
      </c>
      <c r="AB20" s="9" t="n">
        <v>0.0325</v>
      </c>
      <c r="AC20" s="9" t="n">
        <v>0.1117</v>
      </c>
      <c r="AD20" s="9" t="n">
        <v>0.0907</v>
      </c>
      <c r="AE20" s="9" t="n">
        <v>0.1237</v>
      </c>
      <c r="AF20" s="9" t="n">
        <v>0.0005999999999999999</v>
      </c>
      <c r="AG20" s="9" t="n">
        <v>0.0625</v>
      </c>
      <c r="AH20" s="9" t="n">
        <v>0.0216</v>
      </c>
      <c r="AI20" s="9" t="n">
        <v>0.7635</v>
      </c>
      <c r="AJ20" s="9" t="n">
        <v>1.3097</v>
      </c>
      <c r="AK20" s="9" t="n">
        <v>78.14</v>
      </c>
    </row>
    <row r="21">
      <c r="A21" s="8" t="n">
        <v>11</v>
      </c>
      <c r="B21" s="8" t="inlineStr">
        <is>
          <t>荣昌区</t>
        </is>
      </c>
      <c r="C21" s="8" t="n">
        <v>1.04</v>
      </c>
      <c r="D21" s="8" t="n">
        <v>3.12</v>
      </c>
      <c r="E21" s="8" t="n">
        <v>3.47</v>
      </c>
      <c r="F21" s="8" t="n">
        <v>2.43</v>
      </c>
      <c r="G21" s="8" t="n">
        <v>1.74</v>
      </c>
      <c r="H21" s="8" t="n">
        <v>5.56</v>
      </c>
      <c r="I21" s="8" t="n">
        <v>7.29</v>
      </c>
      <c r="J21" s="8" t="n">
        <v>0.35</v>
      </c>
      <c r="K21" s="8" t="n">
        <v>1.04</v>
      </c>
      <c r="L21" s="8" t="n">
        <v>4.51</v>
      </c>
      <c r="M21" s="8" t="n">
        <v>26.04</v>
      </c>
      <c r="N21" s="8" t="n">
        <v>7.29</v>
      </c>
      <c r="O21" s="8" t="n">
        <v>22.57</v>
      </c>
      <c r="P21" s="8" t="n">
        <v>6.25</v>
      </c>
      <c r="Q21" s="8" t="n">
        <v>0.35</v>
      </c>
      <c r="R21" s="8" t="n">
        <v>6.94</v>
      </c>
      <c r="S21" s="8" t="n">
        <v>0.0521</v>
      </c>
      <c r="T21" s="8" t="n">
        <v>0.0312</v>
      </c>
      <c r="U21" s="8" t="n">
        <v>0.0278</v>
      </c>
      <c r="V21" s="8" t="n">
        <v>0.0382</v>
      </c>
      <c r="W21" s="8" t="n">
        <v>0.0451</v>
      </c>
      <c r="X21" s="8" t="n">
        <v>0.0069</v>
      </c>
      <c r="Y21" s="8" t="n">
        <v>0.0104</v>
      </c>
      <c r="Z21" s="8" t="n">
        <v>0.059</v>
      </c>
      <c r="AA21" s="8" t="n">
        <v>0.0521</v>
      </c>
      <c r="AB21" s="8" t="n">
        <v>0.0174</v>
      </c>
      <c r="AC21" s="8" t="n">
        <v>0.1979</v>
      </c>
      <c r="AD21" s="8" t="n">
        <v>0.0104</v>
      </c>
      <c r="AE21" s="8" t="n">
        <v>0.1632</v>
      </c>
      <c r="AF21" s="8" t="n">
        <v>0</v>
      </c>
      <c r="AG21" s="8" t="n">
        <v>0.059</v>
      </c>
      <c r="AH21" s="8" t="n">
        <v>0.0069</v>
      </c>
      <c r="AI21" s="8" t="n">
        <v>0.7778</v>
      </c>
      <c r="AJ21" s="8" t="n">
        <v>1.2857</v>
      </c>
      <c r="AK21" s="8" t="n">
        <v>76.86</v>
      </c>
    </row>
    <row r="22">
      <c r="A22" s="9" t="n">
        <v>12</v>
      </c>
      <c r="B22" s="9" t="inlineStr">
        <is>
          <t>大渡口区</t>
        </is>
      </c>
      <c r="C22" s="9" t="n">
        <v>4.98</v>
      </c>
      <c r="D22" s="9" t="n">
        <v>8.640000000000001</v>
      </c>
      <c r="E22" s="9" t="n">
        <v>2.99</v>
      </c>
      <c r="F22" s="9" t="n">
        <v>4.32</v>
      </c>
      <c r="G22" s="9" t="n">
        <v>0.33</v>
      </c>
      <c r="H22" s="9" t="n">
        <v>2.66</v>
      </c>
      <c r="I22" s="9" t="n">
        <v>6.98</v>
      </c>
      <c r="J22" s="9" t="n">
        <v>0</v>
      </c>
      <c r="K22" s="9" t="n">
        <v>0.33</v>
      </c>
      <c r="L22" s="9" t="n">
        <v>1.66</v>
      </c>
      <c r="M22" s="9" t="n">
        <v>27.24</v>
      </c>
      <c r="N22" s="9" t="n">
        <v>6.64</v>
      </c>
      <c r="O22" s="9" t="n">
        <v>20.6</v>
      </c>
      <c r="P22" s="9" t="n">
        <v>5.98</v>
      </c>
      <c r="Q22" s="9" t="n">
        <v>0.33</v>
      </c>
      <c r="R22" s="9" t="n">
        <v>6.31</v>
      </c>
      <c r="S22" s="9" t="n">
        <v>0.0127</v>
      </c>
      <c r="T22" s="9" t="n">
        <v>0.0239</v>
      </c>
      <c r="U22" s="9" t="n">
        <v>0.0326</v>
      </c>
      <c r="V22" s="9" t="n">
        <v>0.0193</v>
      </c>
      <c r="W22" s="9" t="n">
        <v>0.0592</v>
      </c>
      <c r="X22" s="9" t="n">
        <v>0.0359</v>
      </c>
      <c r="Y22" s="9" t="n">
        <v>0.0073</v>
      </c>
      <c r="Z22" s="9" t="n">
        <v>0.0625</v>
      </c>
      <c r="AA22" s="9" t="n">
        <v>0.0592</v>
      </c>
      <c r="AB22" s="9" t="n">
        <v>0.0459</v>
      </c>
      <c r="AC22" s="9" t="n">
        <v>0.2099</v>
      </c>
      <c r="AD22" s="9" t="n">
        <v>0.0039</v>
      </c>
      <c r="AE22" s="9" t="n">
        <v>0.1435</v>
      </c>
      <c r="AF22" s="9" t="n">
        <v>0.0027</v>
      </c>
      <c r="AG22" s="9" t="n">
        <v>0.0592</v>
      </c>
      <c r="AH22" s="9" t="n">
        <v>0.0005999999999999999</v>
      </c>
      <c r="AI22" s="9" t="n">
        <v>0.7782</v>
      </c>
      <c r="AJ22" s="9" t="n">
        <v>1.285</v>
      </c>
      <c r="AK22" s="9" t="n">
        <v>76.81999999999999</v>
      </c>
    </row>
    <row r="23">
      <c r="A23" s="8" t="n">
        <v>13</v>
      </c>
      <c r="B23" s="8" t="inlineStr">
        <is>
          <t>九龙坡区</t>
        </is>
      </c>
      <c r="C23" s="8" t="n">
        <v>7.05</v>
      </c>
      <c r="D23" s="8" t="n">
        <v>7.79</v>
      </c>
      <c r="E23" s="8" t="n">
        <v>3.71</v>
      </c>
      <c r="F23" s="8" t="n">
        <v>2.97</v>
      </c>
      <c r="G23" s="8" t="n">
        <v>1.11</v>
      </c>
      <c r="H23" s="8" t="n">
        <v>5.19</v>
      </c>
      <c r="I23" s="8" t="n">
        <v>6.49</v>
      </c>
      <c r="J23" s="8" t="n">
        <v>0</v>
      </c>
      <c r="K23" s="8" t="n">
        <v>0.19</v>
      </c>
      <c r="L23" s="8" t="n">
        <v>2.6</v>
      </c>
      <c r="M23" s="8" t="n">
        <v>24.49</v>
      </c>
      <c r="N23" s="8" t="n">
        <v>2.6</v>
      </c>
      <c r="O23" s="8" t="n">
        <v>23.01</v>
      </c>
      <c r="P23" s="8" t="n">
        <v>7.61</v>
      </c>
      <c r="Q23" s="8" t="n">
        <v>0.5600000000000001</v>
      </c>
      <c r="R23" s="8" t="n">
        <v>4.64</v>
      </c>
      <c r="S23" s="8" t="n">
        <v>0.008</v>
      </c>
      <c r="T23" s="8" t="n">
        <v>0.0154</v>
      </c>
      <c r="U23" s="8" t="n">
        <v>0.0254</v>
      </c>
      <c r="V23" s="8" t="n">
        <v>0.0328</v>
      </c>
      <c r="W23" s="8" t="n">
        <v>0.0514</v>
      </c>
      <c r="X23" s="8" t="n">
        <v>0.0106</v>
      </c>
      <c r="Y23" s="8" t="n">
        <v>0.0024</v>
      </c>
      <c r="Z23" s="8" t="n">
        <v>0.0625</v>
      </c>
      <c r="AA23" s="8" t="n">
        <v>0.0606</v>
      </c>
      <c r="AB23" s="8" t="n">
        <v>0.0365</v>
      </c>
      <c r="AC23" s="8" t="n">
        <v>0.1824</v>
      </c>
      <c r="AD23" s="8" t="n">
        <v>0.0365</v>
      </c>
      <c r="AE23" s="8" t="n">
        <v>0.1676</v>
      </c>
      <c r="AF23" s="8" t="n">
        <v>0.0136</v>
      </c>
      <c r="AG23" s="8" t="n">
        <v>0.0569</v>
      </c>
      <c r="AH23" s="8" t="n">
        <v>0.0161</v>
      </c>
      <c r="AI23" s="8" t="n">
        <v>0.7788</v>
      </c>
      <c r="AJ23" s="8" t="n">
        <v>1.2841</v>
      </c>
      <c r="AK23" s="8" t="n">
        <v>76.77</v>
      </c>
    </row>
    <row r="24">
      <c r="A24" s="9" t="n">
        <v>14</v>
      </c>
      <c r="B24" s="9" t="inlineStr">
        <is>
          <t>梁平区</t>
        </is>
      </c>
      <c r="C24" s="9" t="n">
        <v>0.75</v>
      </c>
      <c r="D24" s="9" t="n">
        <v>6.36</v>
      </c>
      <c r="E24" s="9" t="n">
        <v>1.12</v>
      </c>
      <c r="F24" s="9" t="n">
        <v>4.3</v>
      </c>
      <c r="G24" s="9" t="n">
        <v>0.19</v>
      </c>
      <c r="H24" s="9" t="n">
        <v>4.11</v>
      </c>
      <c r="I24" s="9" t="n">
        <v>5.42</v>
      </c>
      <c r="J24" s="9" t="n">
        <v>0.5600000000000001</v>
      </c>
      <c r="K24" s="9" t="n">
        <v>2.99</v>
      </c>
      <c r="L24" s="9" t="n">
        <v>5.98</v>
      </c>
      <c r="M24" s="9" t="n">
        <v>23.93</v>
      </c>
      <c r="N24" s="9" t="n">
        <v>11.21</v>
      </c>
      <c r="O24" s="9" t="n">
        <v>22.62</v>
      </c>
      <c r="P24" s="9" t="n">
        <v>4.3</v>
      </c>
      <c r="Q24" s="9" t="n">
        <v>0.19</v>
      </c>
      <c r="R24" s="9" t="n">
        <v>5.98</v>
      </c>
      <c r="S24" s="9" t="n">
        <v>0.055</v>
      </c>
      <c r="T24" s="9" t="n">
        <v>0.0011</v>
      </c>
      <c r="U24" s="9" t="n">
        <v>0.0513</v>
      </c>
      <c r="V24" s="9" t="n">
        <v>0.0195</v>
      </c>
      <c r="W24" s="9" t="n">
        <v>0.0606</v>
      </c>
      <c r="X24" s="9" t="n">
        <v>0.0214</v>
      </c>
      <c r="Y24" s="9" t="n">
        <v>0.0083</v>
      </c>
      <c r="Z24" s="9" t="n">
        <v>0.0569</v>
      </c>
      <c r="AA24" s="9" t="n">
        <v>0.0326</v>
      </c>
      <c r="AB24" s="9" t="n">
        <v>0.0027</v>
      </c>
      <c r="AC24" s="9" t="n">
        <v>0.1768</v>
      </c>
      <c r="AD24" s="9" t="n">
        <v>0.0496</v>
      </c>
      <c r="AE24" s="9" t="n">
        <v>0.1637</v>
      </c>
      <c r="AF24" s="9" t="n">
        <v>0.0195</v>
      </c>
      <c r="AG24" s="9" t="n">
        <v>0.0606</v>
      </c>
      <c r="AH24" s="9" t="n">
        <v>0.0027</v>
      </c>
      <c r="AI24" s="9" t="n">
        <v>0.7822</v>
      </c>
      <c r="AJ24" s="9" t="n">
        <v>1.2784</v>
      </c>
      <c r="AK24" s="9" t="n">
        <v>76.47</v>
      </c>
    </row>
    <row r="25">
      <c r="A25" s="8" t="n">
        <v>15</v>
      </c>
      <c r="B25" s="8" t="inlineStr">
        <is>
          <t>南川区</t>
        </is>
      </c>
      <c r="C25" s="8" t="n">
        <v>0.2</v>
      </c>
      <c r="D25" s="8" t="n">
        <v>7.03</v>
      </c>
      <c r="E25" s="8" t="n">
        <v>1.61</v>
      </c>
      <c r="F25" s="8" t="n">
        <v>2.61</v>
      </c>
      <c r="G25" s="8" t="n">
        <v>2.81</v>
      </c>
      <c r="H25" s="8" t="n">
        <v>2.21</v>
      </c>
      <c r="I25" s="8" t="n">
        <v>8.630000000000001</v>
      </c>
      <c r="J25" s="8" t="n">
        <v>0.2</v>
      </c>
      <c r="K25" s="8" t="n">
        <v>5.22</v>
      </c>
      <c r="L25" s="8" t="n">
        <v>5.02</v>
      </c>
      <c r="M25" s="8" t="n">
        <v>21.29</v>
      </c>
      <c r="N25" s="8" t="n">
        <v>15.66</v>
      </c>
      <c r="O25" s="8" t="n">
        <v>14.86</v>
      </c>
      <c r="P25" s="8" t="n">
        <v>3.21</v>
      </c>
      <c r="Q25" s="8" t="n">
        <v>0.2</v>
      </c>
      <c r="R25" s="8" t="n">
        <v>9.24</v>
      </c>
      <c r="S25" s="8" t="n">
        <v>0.0605</v>
      </c>
      <c r="T25" s="8" t="n">
        <v>0.0078</v>
      </c>
      <c r="U25" s="8" t="n">
        <v>0.0464</v>
      </c>
      <c r="V25" s="8" t="n">
        <v>0.0364</v>
      </c>
      <c r="W25" s="8" t="n">
        <v>0.0344</v>
      </c>
      <c r="X25" s="8" t="n">
        <v>0.0404</v>
      </c>
      <c r="Y25" s="8" t="n">
        <v>0.0238</v>
      </c>
      <c r="Z25" s="8" t="n">
        <v>0.0605</v>
      </c>
      <c r="AA25" s="8" t="n">
        <v>0.0103</v>
      </c>
      <c r="AB25" s="8" t="n">
        <v>0.0123</v>
      </c>
      <c r="AC25" s="8" t="n">
        <v>0.1504</v>
      </c>
      <c r="AD25" s="8" t="n">
        <v>0.0941</v>
      </c>
      <c r="AE25" s="8" t="n">
        <v>0.0861</v>
      </c>
      <c r="AF25" s="8" t="n">
        <v>0.0304</v>
      </c>
      <c r="AG25" s="8" t="n">
        <v>0.0605</v>
      </c>
      <c r="AH25" s="8" t="n">
        <v>0.0299</v>
      </c>
      <c r="AI25" s="8" t="n">
        <v>0.7841</v>
      </c>
      <c r="AJ25" s="8" t="n">
        <v>1.2753</v>
      </c>
      <c r="AK25" s="8" t="n">
        <v>76.3</v>
      </c>
    </row>
    <row r="26">
      <c r="A26" s="9" t="n">
        <v>16</v>
      </c>
      <c r="B26" s="9" t="inlineStr">
        <is>
          <t>潼南区</t>
        </is>
      </c>
      <c r="C26" s="9" t="n">
        <v>0.85</v>
      </c>
      <c r="D26" s="9" t="n">
        <v>6.41</v>
      </c>
      <c r="E26" s="9" t="n">
        <v>3.85</v>
      </c>
      <c r="F26" s="9" t="n">
        <v>4.27</v>
      </c>
      <c r="G26" s="9" t="n">
        <v>0.85</v>
      </c>
      <c r="H26" s="9" t="n">
        <v>5.98</v>
      </c>
      <c r="I26" s="9" t="n">
        <v>9.4</v>
      </c>
      <c r="J26" s="9" t="n">
        <v>0.43</v>
      </c>
      <c r="K26" s="9" t="n">
        <v>0</v>
      </c>
      <c r="L26" s="9" t="n">
        <v>2.14</v>
      </c>
      <c r="M26" s="9" t="n">
        <v>22.22</v>
      </c>
      <c r="N26" s="9" t="n">
        <v>11.97</v>
      </c>
      <c r="O26" s="9" t="n">
        <v>20.51</v>
      </c>
      <c r="P26" s="9" t="n">
        <v>5.98</v>
      </c>
      <c r="Q26" s="9" t="n">
        <v>0.43</v>
      </c>
      <c r="R26" s="9" t="n">
        <v>4.7</v>
      </c>
      <c r="S26" s="9" t="n">
        <v>0.054</v>
      </c>
      <c r="T26" s="9" t="n">
        <v>0.0016</v>
      </c>
      <c r="U26" s="9" t="n">
        <v>0.024</v>
      </c>
      <c r="V26" s="9" t="n">
        <v>0.0198</v>
      </c>
      <c r="W26" s="9" t="n">
        <v>0.054</v>
      </c>
      <c r="X26" s="9" t="n">
        <v>0.0027</v>
      </c>
      <c r="Y26" s="9" t="n">
        <v>0.0315</v>
      </c>
      <c r="Z26" s="9" t="n">
        <v>0.0582</v>
      </c>
      <c r="AA26" s="9" t="n">
        <v>0.0625</v>
      </c>
      <c r="AB26" s="9" t="n">
        <v>0.0411</v>
      </c>
      <c r="AC26" s="9" t="n">
        <v>0.1597</v>
      </c>
      <c r="AD26" s="9" t="n">
        <v>0.0572</v>
      </c>
      <c r="AE26" s="9" t="n">
        <v>0.1426</v>
      </c>
      <c r="AF26" s="9" t="n">
        <v>0.0027</v>
      </c>
      <c r="AG26" s="9" t="n">
        <v>0.0582</v>
      </c>
      <c r="AH26" s="9" t="n">
        <v>0.0155</v>
      </c>
      <c r="AI26" s="9" t="n">
        <v>0.7853</v>
      </c>
      <c r="AJ26" s="9" t="n">
        <v>1.2735</v>
      </c>
      <c r="AK26" s="9" t="n">
        <v>76.2</v>
      </c>
    </row>
    <row r="27">
      <c r="A27" s="8" t="n">
        <v>17</v>
      </c>
      <c r="B27" s="8" t="inlineStr">
        <is>
          <t>江津区</t>
        </is>
      </c>
      <c r="C27" s="8" t="n">
        <v>1.78</v>
      </c>
      <c r="D27" s="8" t="n">
        <v>2.38</v>
      </c>
      <c r="E27" s="8" t="n">
        <v>2.57</v>
      </c>
      <c r="F27" s="8" t="n">
        <v>6.34</v>
      </c>
      <c r="G27" s="8" t="n">
        <v>2.18</v>
      </c>
      <c r="H27" s="8" t="n">
        <v>2.97</v>
      </c>
      <c r="I27" s="8" t="n">
        <v>6.14</v>
      </c>
      <c r="J27" s="8" t="n">
        <v>0.2</v>
      </c>
      <c r="K27" s="8" t="n">
        <v>0</v>
      </c>
      <c r="L27" s="8" t="n">
        <v>8.91</v>
      </c>
      <c r="M27" s="8" t="n">
        <v>21.78</v>
      </c>
      <c r="N27" s="8" t="n">
        <v>9.9</v>
      </c>
      <c r="O27" s="8" t="n">
        <v>18.81</v>
      </c>
      <c r="P27" s="8" t="n">
        <v>4.55</v>
      </c>
      <c r="Q27" s="8" t="n">
        <v>0.2</v>
      </c>
      <c r="R27" s="8" t="n">
        <v>11.29</v>
      </c>
      <c r="S27" s="8" t="n">
        <v>0.0447</v>
      </c>
      <c r="T27" s="8" t="n">
        <v>0.0387</v>
      </c>
      <c r="U27" s="8" t="n">
        <v>0.0368</v>
      </c>
      <c r="V27" s="8" t="n">
        <v>0.0009</v>
      </c>
      <c r="W27" s="8" t="n">
        <v>0.0407</v>
      </c>
      <c r="X27" s="8" t="n">
        <v>0.0328</v>
      </c>
      <c r="Y27" s="8" t="n">
        <v>0.0011</v>
      </c>
      <c r="Z27" s="8" t="n">
        <v>0.0605</v>
      </c>
      <c r="AA27" s="8" t="n">
        <v>0.0625</v>
      </c>
      <c r="AB27" s="8" t="n">
        <v>0.0266</v>
      </c>
      <c r="AC27" s="8" t="n">
        <v>0.1553</v>
      </c>
      <c r="AD27" s="8" t="n">
        <v>0.0365</v>
      </c>
      <c r="AE27" s="8" t="n">
        <v>0.1256</v>
      </c>
      <c r="AF27" s="8" t="n">
        <v>0.017</v>
      </c>
      <c r="AG27" s="8" t="n">
        <v>0.0605</v>
      </c>
      <c r="AH27" s="8" t="n">
        <v>0.0504</v>
      </c>
      <c r="AI27" s="8" t="n">
        <v>0.7906</v>
      </c>
      <c r="AJ27" s="8" t="n">
        <v>1.2649</v>
      </c>
      <c r="AK27" s="8" t="n">
        <v>75.75</v>
      </c>
    </row>
    <row r="28">
      <c r="A28" s="9" t="n">
        <v>18</v>
      </c>
      <c r="B28" s="9" t="inlineStr">
        <is>
          <t>开州区</t>
        </is>
      </c>
      <c r="C28" s="9" t="n">
        <v>0.59</v>
      </c>
      <c r="D28" s="9" t="n">
        <v>6.67</v>
      </c>
      <c r="E28" s="9" t="n">
        <v>1.57</v>
      </c>
      <c r="F28" s="9" t="n">
        <v>5.49</v>
      </c>
      <c r="G28" s="9" t="n">
        <v>2.55</v>
      </c>
      <c r="H28" s="9" t="n">
        <v>4.31</v>
      </c>
      <c r="I28" s="9" t="n">
        <v>2.75</v>
      </c>
      <c r="J28" s="9" t="n">
        <v>0.39</v>
      </c>
      <c r="K28" s="9" t="n">
        <v>1.37</v>
      </c>
      <c r="L28" s="9" t="n">
        <v>10.78</v>
      </c>
      <c r="M28" s="9" t="n">
        <v>27.25</v>
      </c>
      <c r="N28" s="9" t="n">
        <v>12.94</v>
      </c>
      <c r="O28" s="9" t="n">
        <v>12.35</v>
      </c>
      <c r="P28" s="9" t="n">
        <v>3.73</v>
      </c>
      <c r="Q28" s="9" t="n">
        <v>0</v>
      </c>
      <c r="R28" s="9" t="n">
        <v>7.25</v>
      </c>
      <c r="S28" s="9" t="n">
        <v>0.0566</v>
      </c>
      <c r="T28" s="9" t="n">
        <v>0.0042</v>
      </c>
      <c r="U28" s="9" t="n">
        <v>0.0468</v>
      </c>
      <c r="V28" s="9" t="n">
        <v>0.0076</v>
      </c>
      <c r="W28" s="9" t="n">
        <v>0.037</v>
      </c>
      <c r="X28" s="9" t="n">
        <v>0.0194</v>
      </c>
      <c r="Y28" s="9" t="n">
        <v>0.035</v>
      </c>
      <c r="Z28" s="9" t="n">
        <v>0.0586</v>
      </c>
      <c r="AA28" s="9" t="n">
        <v>0.0488</v>
      </c>
      <c r="AB28" s="9" t="n">
        <v>0.0453</v>
      </c>
      <c r="AC28" s="9" t="n">
        <v>0.21</v>
      </c>
      <c r="AD28" s="9" t="n">
        <v>0.0669</v>
      </c>
      <c r="AE28" s="9" t="n">
        <v>0.061</v>
      </c>
      <c r="AF28" s="9" t="n">
        <v>0.0252</v>
      </c>
      <c r="AG28" s="9" t="n">
        <v>0.0625</v>
      </c>
      <c r="AH28" s="9" t="n">
        <v>0.01</v>
      </c>
      <c r="AI28" s="9" t="n">
        <v>0.7951</v>
      </c>
      <c r="AJ28" s="9" t="n">
        <v>1.2577</v>
      </c>
      <c r="AK28" s="9" t="n">
        <v>75.36</v>
      </c>
    </row>
    <row r="29">
      <c r="A29" s="8" t="n">
        <v>19</v>
      </c>
      <c r="B29" s="8" t="inlineStr">
        <is>
          <t>北碚区</t>
        </is>
      </c>
      <c r="C29" s="8" t="n">
        <v>1.52</v>
      </c>
      <c r="D29" s="8" t="n">
        <v>7.17</v>
      </c>
      <c r="E29" s="8" t="n">
        <v>3.48</v>
      </c>
      <c r="F29" s="8" t="n">
        <v>4.57</v>
      </c>
      <c r="G29" s="8" t="n">
        <v>2.17</v>
      </c>
      <c r="H29" s="8" t="n">
        <v>1.96</v>
      </c>
      <c r="I29" s="8" t="n">
        <v>3.26</v>
      </c>
      <c r="J29" s="8" t="n">
        <v>0</v>
      </c>
      <c r="K29" s="8" t="n">
        <v>1.3</v>
      </c>
      <c r="L29" s="8" t="n">
        <v>4.35</v>
      </c>
      <c r="M29" s="8" t="n">
        <v>23.48</v>
      </c>
      <c r="N29" s="8" t="n">
        <v>16.09</v>
      </c>
      <c r="O29" s="8" t="n">
        <v>15.65</v>
      </c>
      <c r="P29" s="8" t="n">
        <v>8.699999999999999</v>
      </c>
      <c r="Q29" s="8" t="n">
        <v>0.87</v>
      </c>
      <c r="R29" s="8" t="n">
        <v>5.43</v>
      </c>
      <c r="S29" s="8" t="n">
        <v>0.0473</v>
      </c>
      <c r="T29" s="8" t="n">
        <v>0.0092</v>
      </c>
      <c r="U29" s="8" t="n">
        <v>0.0277</v>
      </c>
      <c r="V29" s="8" t="n">
        <v>0.0168</v>
      </c>
      <c r="W29" s="8" t="n">
        <v>0.0408</v>
      </c>
      <c r="X29" s="8" t="n">
        <v>0.0429</v>
      </c>
      <c r="Y29" s="8" t="n">
        <v>0.0299</v>
      </c>
      <c r="Z29" s="8" t="n">
        <v>0.0625</v>
      </c>
      <c r="AA29" s="8" t="n">
        <v>0.0495</v>
      </c>
      <c r="AB29" s="8" t="n">
        <v>0.019</v>
      </c>
      <c r="AC29" s="8" t="n">
        <v>0.1723</v>
      </c>
      <c r="AD29" s="8" t="n">
        <v>0.0984</v>
      </c>
      <c r="AE29" s="8" t="n">
        <v>0.094</v>
      </c>
      <c r="AF29" s="8" t="n">
        <v>0.0245</v>
      </c>
      <c r="AG29" s="8" t="n">
        <v>0.0538</v>
      </c>
      <c r="AH29" s="8" t="n">
        <v>0.008200000000000001</v>
      </c>
      <c r="AI29" s="8" t="n">
        <v>0.7967</v>
      </c>
      <c r="AJ29" s="8" t="n">
        <v>1.2551</v>
      </c>
      <c r="AK29" s="8" t="n">
        <v>75.23</v>
      </c>
    </row>
    <row r="30">
      <c r="A30" s="9" t="n">
        <v>20</v>
      </c>
      <c r="B30" s="9" t="inlineStr">
        <is>
          <t>巴南区</t>
        </is>
      </c>
      <c r="C30" s="9" t="n">
        <v>6.09</v>
      </c>
      <c r="D30" s="9" t="n">
        <v>6.48</v>
      </c>
      <c r="E30" s="9" t="n">
        <v>1.96</v>
      </c>
      <c r="F30" s="9" t="n">
        <v>2.55</v>
      </c>
      <c r="G30" s="9" t="n">
        <v>1.18</v>
      </c>
      <c r="H30" s="9" t="n">
        <v>2.36</v>
      </c>
      <c r="I30" s="9" t="n">
        <v>5.3</v>
      </c>
      <c r="J30" s="9" t="n">
        <v>0.2</v>
      </c>
      <c r="K30" s="9" t="n">
        <v>0.39</v>
      </c>
      <c r="L30" s="9" t="n">
        <v>2.16</v>
      </c>
      <c r="M30" s="9" t="n">
        <v>25.93</v>
      </c>
      <c r="N30" s="9" t="n">
        <v>8.84</v>
      </c>
      <c r="O30" s="9" t="n">
        <v>20.43</v>
      </c>
      <c r="P30" s="9" t="n">
        <v>6.48</v>
      </c>
      <c r="Q30" s="9" t="n">
        <v>0.2</v>
      </c>
      <c r="R30" s="9" t="n">
        <v>9.43</v>
      </c>
      <c r="S30" s="9" t="n">
        <v>0.0016</v>
      </c>
      <c r="T30" s="9" t="n">
        <v>0.0023</v>
      </c>
      <c r="U30" s="9" t="n">
        <v>0.0429</v>
      </c>
      <c r="V30" s="9" t="n">
        <v>0.037</v>
      </c>
      <c r="W30" s="9" t="n">
        <v>0.0507</v>
      </c>
      <c r="X30" s="9" t="n">
        <v>0.0389</v>
      </c>
      <c r="Y30" s="9" t="n">
        <v>0.0095</v>
      </c>
      <c r="Z30" s="9" t="n">
        <v>0.0605</v>
      </c>
      <c r="AA30" s="9" t="n">
        <v>0.0586</v>
      </c>
      <c r="AB30" s="9" t="n">
        <v>0.0409</v>
      </c>
      <c r="AC30" s="9" t="n">
        <v>0.1968</v>
      </c>
      <c r="AD30" s="9" t="n">
        <v>0.0259</v>
      </c>
      <c r="AE30" s="9" t="n">
        <v>0.1418</v>
      </c>
      <c r="AF30" s="9" t="n">
        <v>0.0023</v>
      </c>
      <c r="AG30" s="9" t="n">
        <v>0.0605</v>
      </c>
      <c r="AH30" s="9" t="n">
        <v>0.0318</v>
      </c>
      <c r="AI30" s="9" t="n">
        <v>0.8021</v>
      </c>
      <c r="AJ30" s="9" t="n">
        <v>1.2468</v>
      </c>
      <c r="AK30" s="9" t="n">
        <v>74.78</v>
      </c>
    </row>
    <row r="31">
      <c r="A31" s="8" t="n">
        <v>21</v>
      </c>
      <c r="B31" s="8" t="inlineStr">
        <is>
          <t>铜梁区</t>
        </is>
      </c>
      <c r="C31" s="8" t="n">
        <v>2.48</v>
      </c>
      <c r="D31" s="8" t="n">
        <v>4.96</v>
      </c>
      <c r="E31" s="8" t="n">
        <v>3.9</v>
      </c>
      <c r="F31" s="8" t="n">
        <v>3.9</v>
      </c>
      <c r="G31" s="8" t="n">
        <v>0.71</v>
      </c>
      <c r="H31" s="8" t="n">
        <v>3.19</v>
      </c>
      <c r="I31" s="8" t="n">
        <v>10.64</v>
      </c>
      <c r="J31" s="8" t="n">
        <v>0.35</v>
      </c>
      <c r="K31" s="8" t="n">
        <v>1.06</v>
      </c>
      <c r="L31" s="8" t="n">
        <v>2.48</v>
      </c>
      <c r="M31" s="8" t="n">
        <v>23.4</v>
      </c>
      <c r="N31" s="8" t="n">
        <v>9.57</v>
      </c>
      <c r="O31" s="8" t="n">
        <v>21.28</v>
      </c>
      <c r="P31" s="8" t="n">
        <v>6.74</v>
      </c>
      <c r="Q31" s="8" t="n">
        <v>0</v>
      </c>
      <c r="R31" s="8" t="n">
        <v>5.32</v>
      </c>
      <c r="S31" s="8" t="n">
        <v>0.0377</v>
      </c>
      <c r="T31" s="8" t="n">
        <v>0.0129</v>
      </c>
      <c r="U31" s="8" t="n">
        <v>0.0235</v>
      </c>
      <c r="V31" s="8" t="n">
        <v>0.0235</v>
      </c>
      <c r="W31" s="8" t="n">
        <v>0.0554</v>
      </c>
      <c r="X31" s="8" t="n">
        <v>0.0306</v>
      </c>
      <c r="Y31" s="8" t="n">
        <v>0.0439</v>
      </c>
      <c r="Z31" s="8" t="n">
        <v>0.059</v>
      </c>
      <c r="AA31" s="8" t="n">
        <v>0.0519</v>
      </c>
      <c r="AB31" s="8" t="n">
        <v>0.0377</v>
      </c>
      <c r="AC31" s="8" t="n">
        <v>0.1715</v>
      </c>
      <c r="AD31" s="8" t="n">
        <v>0.0332</v>
      </c>
      <c r="AE31" s="8" t="n">
        <v>0.1503</v>
      </c>
      <c r="AF31" s="8" t="n">
        <v>0.0049</v>
      </c>
      <c r="AG31" s="8" t="n">
        <v>0.0625</v>
      </c>
      <c r="AH31" s="8" t="n">
        <v>0.009299999999999999</v>
      </c>
      <c r="AI31" s="8" t="n">
        <v>0.8076</v>
      </c>
      <c r="AJ31" s="8" t="n">
        <v>1.2382</v>
      </c>
      <c r="AK31" s="8" t="n">
        <v>74.31999999999999</v>
      </c>
    </row>
    <row r="32">
      <c r="A32" s="9" t="n">
        <v>22</v>
      </c>
      <c r="B32" s="9" t="inlineStr">
        <is>
          <t>沙坪坝区</t>
        </is>
      </c>
      <c r="C32" s="9" t="n">
        <v>1.04</v>
      </c>
      <c r="D32" s="9" t="n">
        <v>2.77</v>
      </c>
      <c r="E32" s="9" t="n">
        <v>5.19</v>
      </c>
      <c r="F32" s="9" t="n">
        <v>5.88</v>
      </c>
      <c r="G32" s="9" t="n">
        <v>4.15</v>
      </c>
      <c r="H32" s="9" t="n">
        <v>4.15</v>
      </c>
      <c r="I32" s="9" t="n">
        <v>4.15</v>
      </c>
      <c r="J32" s="9" t="n">
        <v>0</v>
      </c>
      <c r="K32" s="9" t="n">
        <v>0.6899999999999999</v>
      </c>
      <c r="L32" s="9" t="n">
        <v>1.73</v>
      </c>
      <c r="M32" s="9" t="n">
        <v>35.99</v>
      </c>
      <c r="N32" s="9" t="n">
        <v>3.46</v>
      </c>
      <c r="O32" s="9" t="n">
        <v>16.96</v>
      </c>
      <c r="P32" s="9" t="n">
        <v>4.84</v>
      </c>
      <c r="Q32" s="9" t="n">
        <v>3.81</v>
      </c>
      <c r="R32" s="9" t="n">
        <v>5.19</v>
      </c>
      <c r="S32" s="9" t="n">
        <v>0.0521</v>
      </c>
      <c r="T32" s="9" t="n">
        <v>0.0348</v>
      </c>
      <c r="U32" s="9" t="n">
        <v>0.0106</v>
      </c>
      <c r="V32" s="9" t="n">
        <v>0.0037</v>
      </c>
      <c r="W32" s="9" t="n">
        <v>0.021</v>
      </c>
      <c r="X32" s="9" t="n">
        <v>0.021</v>
      </c>
      <c r="Y32" s="9" t="n">
        <v>0.021</v>
      </c>
      <c r="Z32" s="9" t="n">
        <v>0.0625</v>
      </c>
      <c r="AA32" s="9" t="n">
        <v>0.0556</v>
      </c>
      <c r="AB32" s="9" t="n">
        <v>0.0452</v>
      </c>
      <c r="AC32" s="9" t="n">
        <v>0.2974</v>
      </c>
      <c r="AD32" s="9" t="n">
        <v>0.0279</v>
      </c>
      <c r="AE32" s="9" t="n">
        <v>0.1071</v>
      </c>
      <c r="AF32" s="9" t="n">
        <v>0.0141</v>
      </c>
      <c r="AG32" s="9" t="n">
        <v>0.0244</v>
      </c>
      <c r="AH32" s="9" t="n">
        <v>0.0106</v>
      </c>
      <c r="AI32" s="9" t="n">
        <v>0.8088</v>
      </c>
      <c r="AJ32" s="9" t="n">
        <v>1.2364</v>
      </c>
      <c r="AK32" s="9" t="n">
        <v>74.23</v>
      </c>
    </row>
    <row r="33">
      <c r="A33" s="8" t="n">
        <v>23</v>
      </c>
      <c r="B33" s="8" t="inlineStr">
        <is>
          <t>武隆区</t>
        </is>
      </c>
      <c r="C33" s="8" t="n">
        <v>0.2</v>
      </c>
      <c r="D33" s="8" t="n">
        <v>5.45</v>
      </c>
      <c r="E33" s="8" t="n">
        <v>2.42</v>
      </c>
      <c r="F33" s="8" t="n">
        <v>2.42</v>
      </c>
      <c r="G33" s="8" t="n">
        <v>8.48</v>
      </c>
      <c r="H33" s="8" t="n">
        <v>2.42</v>
      </c>
      <c r="I33" s="8" t="n">
        <v>3.23</v>
      </c>
      <c r="J33" s="8" t="n">
        <v>0</v>
      </c>
      <c r="K33" s="8" t="n">
        <v>5.25</v>
      </c>
      <c r="L33" s="8" t="n">
        <v>3.64</v>
      </c>
      <c r="M33" s="8" t="n">
        <v>24.65</v>
      </c>
      <c r="N33" s="8" t="n">
        <v>21.01</v>
      </c>
      <c r="O33" s="8" t="n">
        <v>11.31</v>
      </c>
      <c r="P33" s="8" t="n">
        <v>4.85</v>
      </c>
      <c r="Q33" s="8" t="n">
        <v>0</v>
      </c>
      <c r="R33" s="8" t="n">
        <v>4.65</v>
      </c>
      <c r="S33" s="8" t="n">
        <v>0.0605</v>
      </c>
      <c r="T33" s="8" t="n">
        <v>0.008</v>
      </c>
      <c r="U33" s="8" t="n">
        <v>0.0383</v>
      </c>
      <c r="V33" s="8" t="n">
        <v>0.0383</v>
      </c>
      <c r="W33" s="8" t="n">
        <v>0.0223</v>
      </c>
      <c r="X33" s="8" t="n">
        <v>0.0383</v>
      </c>
      <c r="Y33" s="8" t="n">
        <v>0.0302</v>
      </c>
      <c r="Z33" s="8" t="n">
        <v>0.0625</v>
      </c>
      <c r="AA33" s="8" t="n">
        <v>0.01</v>
      </c>
      <c r="AB33" s="8" t="n">
        <v>0.0261</v>
      </c>
      <c r="AC33" s="8" t="n">
        <v>0.184</v>
      </c>
      <c r="AD33" s="8" t="n">
        <v>0.1476</v>
      </c>
      <c r="AE33" s="8" t="n">
        <v>0.0506</v>
      </c>
      <c r="AF33" s="8" t="n">
        <v>0.014</v>
      </c>
      <c r="AG33" s="8" t="n">
        <v>0.0625</v>
      </c>
      <c r="AH33" s="8" t="n">
        <v>0.016</v>
      </c>
      <c r="AI33" s="8" t="n">
        <v>0.8091</v>
      </c>
      <c r="AJ33" s="8" t="n">
        <v>1.236</v>
      </c>
      <c r="AK33" s="8" t="n">
        <v>74.2</v>
      </c>
    </row>
    <row r="34">
      <c r="A34" s="9" t="n">
        <v>24</v>
      </c>
      <c r="B34" s="9" t="inlineStr">
        <is>
          <t>万州区</t>
        </is>
      </c>
      <c r="C34" s="9" t="n">
        <v>1.63</v>
      </c>
      <c r="D34" s="9" t="n">
        <v>3.44</v>
      </c>
      <c r="E34" s="9" t="n">
        <v>1.99</v>
      </c>
      <c r="F34" s="9" t="n">
        <v>4.35</v>
      </c>
      <c r="G34" s="9" t="n">
        <v>1.63</v>
      </c>
      <c r="H34" s="9" t="n">
        <v>4.53</v>
      </c>
      <c r="I34" s="9" t="n">
        <v>5.43</v>
      </c>
      <c r="J34" s="9" t="n">
        <v>0.18</v>
      </c>
      <c r="K34" s="9" t="n">
        <v>0.54</v>
      </c>
      <c r="L34" s="9" t="n">
        <v>4.53</v>
      </c>
      <c r="M34" s="9" t="n">
        <v>19.93</v>
      </c>
      <c r="N34" s="9" t="n">
        <v>9.24</v>
      </c>
      <c r="O34" s="9" t="n">
        <v>14.31</v>
      </c>
      <c r="P34" s="9" t="n">
        <v>5.62</v>
      </c>
      <c r="Q34" s="9" t="n">
        <v>0.18</v>
      </c>
      <c r="R34" s="9" t="n">
        <v>22.46</v>
      </c>
      <c r="S34" s="9" t="n">
        <v>0.0462</v>
      </c>
      <c r="T34" s="9" t="n">
        <v>0.0281</v>
      </c>
      <c r="U34" s="9" t="n">
        <v>0.0426</v>
      </c>
      <c r="V34" s="9" t="n">
        <v>0.019</v>
      </c>
      <c r="W34" s="9" t="n">
        <v>0.0462</v>
      </c>
      <c r="X34" s="9" t="n">
        <v>0.0172</v>
      </c>
      <c r="Y34" s="9" t="n">
        <v>0.008200000000000001</v>
      </c>
      <c r="Z34" s="9" t="n">
        <v>0.0607</v>
      </c>
      <c r="AA34" s="9" t="n">
        <v>0.0571</v>
      </c>
      <c r="AB34" s="9" t="n">
        <v>0.0172</v>
      </c>
      <c r="AC34" s="9" t="n">
        <v>0.1368</v>
      </c>
      <c r="AD34" s="9" t="n">
        <v>0.0299</v>
      </c>
      <c r="AE34" s="9" t="n">
        <v>0.0806</v>
      </c>
      <c r="AF34" s="9" t="n">
        <v>0.0063</v>
      </c>
      <c r="AG34" s="9" t="n">
        <v>0.0607</v>
      </c>
      <c r="AH34" s="9" t="n">
        <v>0.1621</v>
      </c>
      <c r="AI34" s="9" t="n">
        <v>0.8188</v>
      </c>
      <c r="AJ34" s="9" t="n">
        <v>1.2212</v>
      </c>
      <c r="AK34" s="9" t="n">
        <v>73.42</v>
      </c>
    </row>
    <row r="35">
      <c r="A35" s="8" t="n">
        <v>25</v>
      </c>
      <c r="B35" s="8" t="inlineStr">
        <is>
          <t>长寿区</t>
        </is>
      </c>
      <c r="C35" s="8" t="n">
        <v>0.57</v>
      </c>
      <c r="D35" s="8" t="n">
        <v>3.15</v>
      </c>
      <c r="E35" s="8" t="n">
        <v>4.01</v>
      </c>
      <c r="F35" s="8" t="n">
        <v>3.15</v>
      </c>
      <c r="G35" s="8" t="n">
        <v>0.86</v>
      </c>
      <c r="H35" s="8" t="n">
        <v>4.87</v>
      </c>
      <c r="I35" s="8" t="n">
        <v>7.74</v>
      </c>
      <c r="J35" s="8" t="n">
        <v>0.29</v>
      </c>
      <c r="K35" s="8" t="n">
        <v>0</v>
      </c>
      <c r="L35" s="8" t="n">
        <v>4.58</v>
      </c>
      <c r="M35" s="8" t="n">
        <v>19.48</v>
      </c>
      <c r="N35" s="8" t="n">
        <v>8.6</v>
      </c>
      <c r="O35" s="8" t="n">
        <v>28.37</v>
      </c>
      <c r="P35" s="8" t="n">
        <v>5.44</v>
      </c>
      <c r="Q35" s="8" t="n">
        <v>0.29</v>
      </c>
      <c r="R35" s="8" t="n">
        <v>8.6</v>
      </c>
      <c r="S35" s="8" t="n">
        <v>0.0568</v>
      </c>
      <c r="T35" s="8" t="n">
        <v>0.031</v>
      </c>
      <c r="U35" s="8" t="n">
        <v>0.0224</v>
      </c>
      <c r="V35" s="8" t="n">
        <v>0.031</v>
      </c>
      <c r="W35" s="8" t="n">
        <v>0.0539</v>
      </c>
      <c r="X35" s="8" t="n">
        <v>0.0138</v>
      </c>
      <c r="Y35" s="8" t="n">
        <v>0.0149</v>
      </c>
      <c r="Z35" s="8" t="n">
        <v>0.0596</v>
      </c>
      <c r="AA35" s="8" t="n">
        <v>0.0625</v>
      </c>
      <c r="AB35" s="8" t="n">
        <v>0.0167</v>
      </c>
      <c r="AC35" s="8" t="n">
        <v>0.1323</v>
      </c>
      <c r="AD35" s="8" t="n">
        <v>0.0235</v>
      </c>
      <c r="AE35" s="8" t="n">
        <v>0.2212</v>
      </c>
      <c r="AF35" s="8" t="n">
        <v>0.0081</v>
      </c>
      <c r="AG35" s="8" t="n">
        <v>0.0596</v>
      </c>
      <c r="AH35" s="8" t="n">
        <v>0.0235</v>
      </c>
      <c r="AI35" s="8" t="n">
        <v>0.8306</v>
      </c>
      <c r="AJ35" s="8" t="n">
        <v>1.204</v>
      </c>
      <c r="AK35" s="8" t="n">
        <v>72.5</v>
      </c>
    </row>
    <row r="36">
      <c r="A36" s="9" t="n">
        <v>26</v>
      </c>
      <c r="B36" s="9" t="inlineStr">
        <is>
          <t>奉节县</t>
        </is>
      </c>
      <c r="C36" s="9" t="n">
        <v>0.74</v>
      </c>
      <c r="D36" s="9" t="n">
        <v>5.43</v>
      </c>
      <c r="E36" s="9" t="n">
        <v>2.47</v>
      </c>
      <c r="F36" s="9" t="n">
        <v>3.21</v>
      </c>
      <c r="G36" s="9" t="n">
        <v>2.72</v>
      </c>
      <c r="H36" s="9" t="n">
        <v>3.7</v>
      </c>
      <c r="I36" s="9" t="n">
        <v>10.12</v>
      </c>
      <c r="J36" s="9" t="n">
        <v>0.25</v>
      </c>
      <c r="K36" s="9" t="n">
        <v>0.74</v>
      </c>
      <c r="L36" s="9" t="n">
        <v>1.73</v>
      </c>
      <c r="M36" s="9" t="n">
        <v>18.02</v>
      </c>
      <c r="N36" s="9" t="n">
        <v>19.01</v>
      </c>
      <c r="O36" s="9" t="n">
        <v>17.28</v>
      </c>
      <c r="P36" s="9" t="n">
        <v>5.93</v>
      </c>
      <c r="Q36" s="9" t="n">
        <v>0</v>
      </c>
      <c r="R36" s="9" t="n">
        <v>8.640000000000001</v>
      </c>
      <c r="S36" s="9" t="n">
        <v>0.0551</v>
      </c>
      <c r="T36" s="9" t="n">
        <v>0.008200000000000001</v>
      </c>
      <c r="U36" s="9" t="n">
        <v>0.0378</v>
      </c>
      <c r="V36" s="9" t="n">
        <v>0.0304</v>
      </c>
      <c r="W36" s="9" t="n">
        <v>0.0353</v>
      </c>
      <c r="X36" s="9" t="n">
        <v>0.0255</v>
      </c>
      <c r="Y36" s="9" t="n">
        <v>0.0387</v>
      </c>
      <c r="Z36" s="9" t="n">
        <v>0.06</v>
      </c>
      <c r="AA36" s="9" t="n">
        <v>0.0551</v>
      </c>
      <c r="AB36" s="9" t="n">
        <v>0.0452</v>
      </c>
      <c r="AC36" s="9" t="n">
        <v>0.1177</v>
      </c>
      <c r="AD36" s="9" t="n">
        <v>0.1276</v>
      </c>
      <c r="AE36" s="9" t="n">
        <v>0.1103</v>
      </c>
      <c r="AF36" s="9" t="n">
        <v>0.0032</v>
      </c>
      <c r="AG36" s="9" t="n">
        <v>0.0625</v>
      </c>
      <c r="AH36" s="9" t="n">
        <v>0.0239</v>
      </c>
      <c r="AI36" s="9" t="n">
        <v>0.8367</v>
      </c>
      <c r="AJ36" s="9" t="n">
        <v>1.1951</v>
      </c>
      <c r="AK36" s="9" t="n">
        <v>72.03</v>
      </c>
    </row>
    <row r="37">
      <c r="A37" s="8" t="n">
        <v>27</v>
      </c>
      <c r="B37" s="8" t="inlineStr">
        <is>
          <t>綦江区</t>
        </is>
      </c>
      <c r="C37" s="8" t="n">
        <v>0</v>
      </c>
      <c r="D37" s="8" t="n">
        <v>3.94</v>
      </c>
      <c r="E37" s="8" t="n">
        <v>2.76</v>
      </c>
      <c r="F37" s="8" t="n">
        <v>1.97</v>
      </c>
      <c r="G37" s="8" t="n">
        <v>1.18</v>
      </c>
      <c r="H37" s="8" t="n">
        <v>4.72</v>
      </c>
      <c r="I37" s="8" t="n">
        <v>6.69</v>
      </c>
      <c r="J37" s="8" t="n">
        <v>1.18</v>
      </c>
      <c r="K37" s="8" t="n">
        <v>0.39</v>
      </c>
      <c r="L37" s="8" t="n">
        <v>6.3</v>
      </c>
      <c r="M37" s="8" t="n">
        <v>27.56</v>
      </c>
      <c r="N37" s="8" t="n">
        <v>16.14</v>
      </c>
      <c r="O37" s="8" t="n">
        <v>16.54</v>
      </c>
      <c r="P37" s="8" t="n">
        <v>5.91</v>
      </c>
      <c r="Q37" s="8" t="n">
        <v>0</v>
      </c>
      <c r="R37" s="8" t="n">
        <v>4.72</v>
      </c>
      <c r="S37" s="8" t="n">
        <v>0.0625</v>
      </c>
      <c r="T37" s="8" t="n">
        <v>0.0231</v>
      </c>
      <c r="U37" s="8" t="n">
        <v>0.0349</v>
      </c>
      <c r="V37" s="8" t="n">
        <v>0.0428</v>
      </c>
      <c r="W37" s="8" t="n">
        <v>0.0507</v>
      </c>
      <c r="X37" s="8" t="n">
        <v>0.0153</v>
      </c>
      <c r="Y37" s="8" t="n">
        <v>0.0044</v>
      </c>
      <c r="Z37" s="8" t="n">
        <v>0.0507</v>
      </c>
      <c r="AA37" s="8" t="n">
        <v>0.0586</v>
      </c>
      <c r="AB37" s="8" t="n">
        <v>0.0005</v>
      </c>
      <c r="AC37" s="8" t="n">
        <v>0.2131</v>
      </c>
      <c r="AD37" s="8" t="n">
        <v>0.0989</v>
      </c>
      <c r="AE37" s="8" t="n">
        <v>0.1029</v>
      </c>
      <c r="AF37" s="8" t="n">
        <v>0.0034</v>
      </c>
      <c r="AG37" s="8" t="n">
        <v>0.0625</v>
      </c>
      <c r="AH37" s="8" t="n">
        <v>0.0153</v>
      </c>
      <c r="AI37" s="8" t="n">
        <v>0.8396</v>
      </c>
      <c r="AJ37" s="8" t="n">
        <v>1.1911</v>
      </c>
      <c r="AK37" s="8" t="n">
        <v>71.81</v>
      </c>
    </row>
    <row r="38">
      <c r="A38" s="9" t="n">
        <v>28</v>
      </c>
      <c r="B38" s="9" t="inlineStr">
        <is>
          <t>石柱县</t>
        </is>
      </c>
      <c r="C38" s="9" t="n">
        <v>0</v>
      </c>
      <c r="D38" s="9" t="n">
        <v>3.53</v>
      </c>
      <c r="E38" s="9" t="n">
        <v>3.14</v>
      </c>
      <c r="F38" s="9" t="n">
        <v>3.92</v>
      </c>
      <c r="G38" s="9" t="n">
        <v>1.18</v>
      </c>
      <c r="H38" s="9" t="n">
        <v>2.75</v>
      </c>
      <c r="I38" s="9" t="n">
        <v>9.800000000000001</v>
      </c>
      <c r="J38" s="9" t="n">
        <v>0.78</v>
      </c>
      <c r="K38" s="9" t="n">
        <v>0.78</v>
      </c>
      <c r="L38" s="9" t="n">
        <v>3.53</v>
      </c>
      <c r="M38" s="9" t="n">
        <v>23.14</v>
      </c>
      <c r="N38" s="9" t="n">
        <v>14.9</v>
      </c>
      <c r="O38" s="9" t="n">
        <v>14.12</v>
      </c>
      <c r="P38" s="9" t="n">
        <v>7.84</v>
      </c>
      <c r="Q38" s="9" t="n">
        <v>0</v>
      </c>
      <c r="R38" s="9" t="n">
        <v>10.59</v>
      </c>
      <c r="S38" s="9" t="n">
        <v>0.0625</v>
      </c>
      <c r="T38" s="9" t="n">
        <v>0.0272</v>
      </c>
      <c r="U38" s="9" t="n">
        <v>0.0311</v>
      </c>
      <c r="V38" s="9" t="n">
        <v>0.0233</v>
      </c>
      <c r="W38" s="9" t="n">
        <v>0.0507</v>
      </c>
      <c r="X38" s="9" t="n">
        <v>0.035</v>
      </c>
      <c r="Y38" s="9" t="n">
        <v>0.0355</v>
      </c>
      <c r="Z38" s="9" t="n">
        <v>0.0547</v>
      </c>
      <c r="AA38" s="9" t="n">
        <v>0.0547</v>
      </c>
      <c r="AB38" s="9" t="n">
        <v>0.0272</v>
      </c>
      <c r="AC38" s="9" t="n">
        <v>0.1689</v>
      </c>
      <c r="AD38" s="9" t="n">
        <v>0.08649999999999999</v>
      </c>
      <c r="AE38" s="9" t="n">
        <v>0.07870000000000001</v>
      </c>
      <c r="AF38" s="9" t="n">
        <v>0.0159</v>
      </c>
      <c r="AG38" s="9" t="n">
        <v>0.0625</v>
      </c>
      <c r="AH38" s="9" t="n">
        <v>0.0434</v>
      </c>
      <c r="AI38" s="9" t="n">
        <v>0.8578</v>
      </c>
      <c r="AJ38" s="9" t="n">
        <v>1.1657</v>
      </c>
      <c r="AK38" s="9" t="n">
        <v>70.45999999999999</v>
      </c>
    </row>
    <row r="39">
      <c r="A39" s="8" t="n">
        <v>29</v>
      </c>
      <c r="B39" s="8" t="inlineStr">
        <is>
          <t>涪陵区</t>
        </is>
      </c>
      <c r="C39" s="8" t="n">
        <v>1.16</v>
      </c>
      <c r="D39" s="8" t="n">
        <v>4.2</v>
      </c>
      <c r="E39" s="8" t="n">
        <v>2.75</v>
      </c>
      <c r="F39" s="8" t="n">
        <v>2.6</v>
      </c>
      <c r="G39" s="8" t="n">
        <v>4.05</v>
      </c>
      <c r="H39" s="8" t="n">
        <v>3.18</v>
      </c>
      <c r="I39" s="8" t="n">
        <v>10.56</v>
      </c>
      <c r="J39" s="8" t="n">
        <v>0.29</v>
      </c>
      <c r="K39" s="8" t="n">
        <v>0.29</v>
      </c>
      <c r="L39" s="8" t="n">
        <v>2.03</v>
      </c>
      <c r="M39" s="8" t="n">
        <v>15.2</v>
      </c>
      <c r="N39" s="8" t="n">
        <v>10.42</v>
      </c>
      <c r="O39" s="8" t="n">
        <v>20.69</v>
      </c>
      <c r="P39" s="8" t="n">
        <v>4.34</v>
      </c>
      <c r="Q39" s="8" t="n">
        <v>0.14</v>
      </c>
      <c r="R39" s="8" t="n">
        <v>18.09</v>
      </c>
      <c r="S39" s="8" t="n">
        <v>0.0509</v>
      </c>
      <c r="T39" s="8" t="n">
        <v>0.0205</v>
      </c>
      <c r="U39" s="8" t="n">
        <v>0.035</v>
      </c>
      <c r="V39" s="8" t="n">
        <v>0.0365</v>
      </c>
      <c r="W39" s="8" t="n">
        <v>0.022</v>
      </c>
      <c r="X39" s="8" t="n">
        <v>0.0307</v>
      </c>
      <c r="Y39" s="8" t="n">
        <v>0.0431</v>
      </c>
      <c r="Z39" s="8" t="n">
        <v>0.0596</v>
      </c>
      <c r="AA39" s="8" t="n">
        <v>0.0596</v>
      </c>
      <c r="AB39" s="8" t="n">
        <v>0.0422</v>
      </c>
      <c r="AC39" s="8" t="n">
        <v>0.0895</v>
      </c>
      <c r="AD39" s="8" t="n">
        <v>0.0417</v>
      </c>
      <c r="AE39" s="8" t="n">
        <v>0.1444</v>
      </c>
      <c r="AF39" s="8" t="n">
        <v>0.0191</v>
      </c>
      <c r="AG39" s="8" t="n">
        <v>0.0611</v>
      </c>
      <c r="AH39" s="8" t="n">
        <v>0.1184</v>
      </c>
      <c r="AI39" s="8" t="n">
        <v>0.8743</v>
      </c>
      <c r="AJ39" s="8" t="n">
        <v>1.1438</v>
      </c>
      <c r="AK39" s="8" t="n">
        <v>69.29000000000001</v>
      </c>
    </row>
    <row r="40">
      <c r="A40" s="9" t="n">
        <v>30</v>
      </c>
      <c r="B40" s="9" t="inlineStr">
        <is>
          <t>黔江区</t>
        </is>
      </c>
      <c r="C40" s="9" t="n">
        <v>0.54</v>
      </c>
      <c r="D40" s="9" t="n">
        <v>2.42</v>
      </c>
      <c r="E40" s="9" t="n">
        <v>2.15</v>
      </c>
      <c r="F40" s="9" t="n">
        <v>1.61</v>
      </c>
      <c r="G40" s="9" t="n">
        <v>4.57</v>
      </c>
      <c r="H40" s="9" t="n">
        <v>1.61</v>
      </c>
      <c r="I40" s="9" t="n">
        <v>6.99</v>
      </c>
      <c r="J40" s="9" t="n">
        <v>0</v>
      </c>
      <c r="K40" s="9" t="n">
        <v>3.76</v>
      </c>
      <c r="L40" s="9" t="n">
        <v>2.69</v>
      </c>
      <c r="M40" s="9" t="n">
        <v>23.92</v>
      </c>
      <c r="N40" s="9" t="n">
        <v>17.2</v>
      </c>
      <c r="O40" s="9" t="n">
        <v>18.55</v>
      </c>
      <c r="P40" s="9" t="n">
        <v>5.11</v>
      </c>
      <c r="Q40" s="9" t="n">
        <v>0.54</v>
      </c>
      <c r="R40" s="9" t="n">
        <v>8.33</v>
      </c>
      <c r="S40" s="9" t="n">
        <v>0.0571</v>
      </c>
      <c r="T40" s="9" t="n">
        <v>0.0383</v>
      </c>
      <c r="U40" s="9" t="n">
        <v>0.041</v>
      </c>
      <c r="V40" s="9" t="n">
        <v>0.0464</v>
      </c>
      <c r="W40" s="9" t="n">
        <v>0.0168</v>
      </c>
      <c r="X40" s="9" t="n">
        <v>0.0464</v>
      </c>
      <c r="Y40" s="9" t="n">
        <v>0.0074</v>
      </c>
      <c r="Z40" s="9" t="n">
        <v>0.0625</v>
      </c>
      <c r="AA40" s="9" t="n">
        <v>0.0249</v>
      </c>
      <c r="AB40" s="9" t="n">
        <v>0.0356</v>
      </c>
      <c r="AC40" s="9" t="n">
        <v>0.1767</v>
      </c>
      <c r="AD40" s="9" t="n">
        <v>0.1095</v>
      </c>
      <c r="AE40" s="9" t="n">
        <v>0.123</v>
      </c>
      <c r="AF40" s="9" t="n">
        <v>0.0114</v>
      </c>
      <c r="AG40" s="9" t="n">
        <v>0.0571</v>
      </c>
      <c r="AH40" s="9" t="n">
        <v>0.0208</v>
      </c>
      <c r="AI40" s="9" t="n">
        <v>0.875</v>
      </c>
      <c r="AJ40" s="9" t="n">
        <v>1.1429</v>
      </c>
      <c r="AK40" s="9" t="n">
        <v>69.23999999999999</v>
      </c>
    </row>
    <row r="41">
      <c r="A41" s="8" t="n">
        <v>31</v>
      </c>
      <c r="B41" s="8" t="inlineStr">
        <is>
          <t>彭水县</t>
        </is>
      </c>
      <c r="C41" s="8" t="n">
        <v>1.1</v>
      </c>
      <c r="D41" s="8" t="n">
        <v>10.13</v>
      </c>
      <c r="E41" s="8" t="n">
        <v>0.22</v>
      </c>
      <c r="F41" s="8" t="n">
        <v>1.98</v>
      </c>
      <c r="G41" s="8" t="n">
        <v>1.54</v>
      </c>
      <c r="H41" s="8" t="n">
        <v>2.64</v>
      </c>
      <c r="I41" s="8" t="n">
        <v>9.91</v>
      </c>
      <c r="J41" s="8" t="n">
        <v>0</v>
      </c>
      <c r="K41" s="8" t="n">
        <v>3.74</v>
      </c>
      <c r="L41" s="8" t="n">
        <v>1.54</v>
      </c>
      <c r="M41" s="8" t="n">
        <v>20.93</v>
      </c>
      <c r="N41" s="8" t="n">
        <v>17.84</v>
      </c>
      <c r="O41" s="8" t="n">
        <v>14.76</v>
      </c>
      <c r="P41" s="8" t="n">
        <v>5.51</v>
      </c>
      <c r="Q41" s="8" t="n">
        <v>0.22</v>
      </c>
      <c r="R41" s="8" t="n">
        <v>7.93</v>
      </c>
      <c r="S41" s="8" t="n">
        <v>0.0515</v>
      </c>
      <c r="T41" s="8" t="n">
        <v>0.0388</v>
      </c>
      <c r="U41" s="8" t="n">
        <v>0.0603</v>
      </c>
      <c r="V41" s="8" t="n">
        <v>0.0427</v>
      </c>
      <c r="W41" s="8" t="n">
        <v>0.0471</v>
      </c>
      <c r="X41" s="8" t="n">
        <v>0.0361</v>
      </c>
      <c r="Y41" s="8" t="n">
        <v>0.0366</v>
      </c>
      <c r="Z41" s="8" t="n">
        <v>0.0625</v>
      </c>
      <c r="AA41" s="8" t="n">
        <v>0.0251</v>
      </c>
      <c r="AB41" s="8" t="n">
        <v>0.0471</v>
      </c>
      <c r="AC41" s="8" t="n">
        <v>0.1468</v>
      </c>
      <c r="AD41" s="8" t="n">
        <v>0.1159</v>
      </c>
      <c r="AE41" s="8" t="n">
        <v>0.0851</v>
      </c>
      <c r="AF41" s="8" t="n">
        <v>0.0074</v>
      </c>
      <c r="AG41" s="8" t="n">
        <v>0.0603</v>
      </c>
      <c r="AH41" s="8" t="n">
        <v>0.0168</v>
      </c>
      <c r="AI41" s="8" t="n">
        <v>0.88</v>
      </c>
      <c r="AJ41" s="8" t="n">
        <v>1.1364</v>
      </c>
      <c r="AK41" s="8" t="n">
        <v>68.90000000000001</v>
      </c>
    </row>
    <row r="42">
      <c r="A42" s="9" t="n">
        <v>32</v>
      </c>
      <c r="B42" s="9" t="inlineStr">
        <is>
          <t>科学城重庆高新区</t>
        </is>
      </c>
      <c r="C42" s="9" t="n">
        <v>11.34</v>
      </c>
      <c r="D42" s="9" t="n">
        <v>5.84</v>
      </c>
      <c r="E42" s="9" t="n">
        <v>4.47</v>
      </c>
      <c r="F42" s="9" t="n">
        <v>3.44</v>
      </c>
      <c r="G42" s="9" t="n">
        <v>0</v>
      </c>
      <c r="H42" s="9" t="n">
        <v>4.12</v>
      </c>
      <c r="I42" s="9" t="n">
        <v>4.81</v>
      </c>
      <c r="J42" s="9" t="n">
        <v>0.34</v>
      </c>
      <c r="K42" s="9" t="n">
        <v>1.03</v>
      </c>
      <c r="L42" s="9" t="n">
        <v>1.72</v>
      </c>
      <c r="M42" s="9" t="n">
        <v>20.27</v>
      </c>
      <c r="N42" s="9" t="n">
        <v>11.68</v>
      </c>
      <c r="O42" s="9" t="n">
        <v>25.77</v>
      </c>
      <c r="P42" s="9" t="n">
        <v>3.09</v>
      </c>
      <c r="Q42" s="9" t="n">
        <v>0</v>
      </c>
      <c r="R42" s="9" t="n">
        <v>2.06</v>
      </c>
      <c r="S42" s="9" t="n">
        <v>0.0509</v>
      </c>
      <c r="T42" s="9" t="n">
        <v>0.0041</v>
      </c>
      <c r="U42" s="9" t="n">
        <v>0.0178</v>
      </c>
      <c r="V42" s="9" t="n">
        <v>0.0281</v>
      </c>
      <c r="W42" s="9" t="n">
        <v>0.0625</v>
      </c>
      <c r="X42" s="9" t="n">
        <v>0.0213</v>
      </c>
      <c r="Y42" s="9" t="n">
        <v>0.0144</v>
      </c>
      <c r="Z42" s="9" t="n">
        <v>0.0591</v>
      </c>
      <c r="AA42" s="9" t="n">
        <v>0.0522</v>
      </c>
      <c r="AB42" s="9" t="n">
        <v>0.0453</v>
      </c>
      <c r="AC42" s="9" t="n">
        <v>0.1402</v>
      </c>
      <c r="AD42" s="9" t="n">
        <v>0.0543</v>
      </c>
      <c r="AE42" s="9" t="n">
        <v>0.1952</v>
      </c>
      <c r="AF42" s="9" t="n">
        <v>0.0316</v>
      </c>
      <c r="AG42" s="9" t="n">
        <v>0.0625</v>
      </c>
      <c r="AH42" s="9" t="n">
        <v>0.0419</v>
      </c>
      <c r="AI42" s="9" t="n">
        <v>0.8814</v>
      </c>
      <c r="AJ42" s="9" t="n">
        <v>1.1345</v>
      </c>
      <c r="AK42" s="9" t="n">
        <v>68.8</v>
      </c>
    </row>
    <row r="43">
      <c r="A43" s="8" t="n">
        <v>33</v>
      </c>
      <c r="B43" s="8" t="inlineStr">
        <is>
          <t>云阳县</t>
        </is>
      </c>
      <c r="C43" s="8" t="n">
        <v>1.73</v>
      </c>
      <c r="D43" s="8" t="n">
        <v>3.89</v>
      </c>
      <c r="E43" s="8" t="n">
        <v>1.51</v>
      </c>
      <c r="F43" s="8" t="n">
        <v>4.32</v>
      </c>
      <c r="G43" s="8" t="n">
        <v>1.73</v>
      </c>
      <c r="H43" s="8" t="n">
        <v>2.81</v>
      </c>
      <c r="I43" s="8" t="n">
        <v>4.32</v>
      </c>
      <c r="J43" s="8" t="n">
        <v>0.43</v>
      </c>
      <c r="K43" s="8" t="n">
        <v>0.65</v>
      </c>
      <c r="L43" s="8" t="n">
        <v>3.02</v>
      </c>
      <c r="M43" s="8" t="n">
        <v>25.7</v>
      </c>
      <c r="N43" s="8" t="n">
        <v>15.33</v>
      </c>
      <c r="O43" s="8" t="n">
        <v>15.12</v>
      </c>
      <c r="P43" s="8" t="n">
        <v>11.45</v>
      </c>
      <c r="Q43" s="8" t="n">
        <v>0.22</v>
      </c>
      <c r="R43" s="8" t="n">
        <v>7.78</v>
      </c>
      <c r="S43" s="8" t="n">
        <v>0.0452</v>
      </c>
      <c r="T43" s="8" t="n">
        <v>0.0236</v>
      </c>
      <c r="U43" s="8" t="n">
        <v>0.0474</v>
      </c>
      <c r="V43" s="8" t="n">
        <v>0.0193</v>
      </c>
      <c r="W43" s="8" t="n">
        <v>0.0452</v>
      </c>
      <c r="X43" s="8" t="n">
        <v>0.0344</v>
      </c>
      <c r="Y43" s="8" t="n">
        <v>0.0193</v>
      </c>
      <c r="Z43" s="8" t="n">
        <v>0.0582</v>
      </c>
      <c r="AA43" s="8" t="n">
        <v>0.056</v>
      </c>
      <c r="AB43" s="8" t="n">
        <v>0.0323</v>
      </c>
      <c r="AC43" s="8" t="n">
        <v>0.1945</v>
      </c>
      <c r="AD43" s="8" t="n">
        <v>0.09080000000000001</v>
      </c>
      <c r="AE43" s="8" t="n">
        <v>0.0887</v>
      </c>
      <c r="AF43" s="8" t="n">
        <v>0.052</v>
      </c>
      <c r="AG43" s="8" t="n">
        <v>0.0603</v>
      </c>
      <c r="AH43" s="8" t="n">
        <v>0.0153</v>
      </c>
      <c r="AI43" s="8" t="n">
        <v>0.8826000000000001</v>
      </c>
      <c r="AJ43" s="8" t="n">
        <v>1.1331</v>
      </c>
      <c r="AK43" s="8" t="n">
        <v>68.72</v>
      </c>
    </row>
    <row r="44">
      <c r="A44" s="9" t="n">
        <v>34</v>
      </c>
      <c r="B44" s="9" t="inlineStr">
        <is>
          <t>大足区</t>
        </is>
      </c>
      <c r="C44" s="9" t="n">
        <v>0</v>
      </c>
      <c r="D44" s="9" t="n">
        <v>5.31</v>
      </c>
      <c r="E44" s="9" t="n">
        <v>3.12</v>
      </c>
      <c r="F44" s="9" t="n">
        <v>3.75</v>
      </c>
      <c r="G44" s="9" t="n">
        <v>1.88</v>
      </c>
      <c r="H44" s="9" t="n">
        <v>3.44</v>
      </c>
      <c r="I44" s="9" t="n">
        <v>4.06</v>
      </c>
      <c r="J44" s="9" t="n">
        <v>0</v>
      </c>
      <c r="K44" s="9" t="n">
        <v>1.56</v>
      </c>
      <c r="L44" s="9" t="n">
        <v>1.56</v>
      </c>
      <c r="M44" s="9" t="n">
        <v>33.12</v>
      </c>
      <c r="N44" s="9" t="n">
        <v>8.44</v>
      </c>
      <c r="O44" s="9" t="n">
        <v>20.62</v>
      </c>
      <c r="P44" s="9" t="n">
        <v>5.94</v>
      </c>
      <c r="Q44" s="9" t="n">
        <v>0</v>
      </c>
      <c r="R44" s="9" t="n">
        <v>7.19</v>
      </c>
      <c r="S44" s="9" t="n">
        <v>0.0625</v>
      </c>
      <c r="T44" s="9" t="n">
        <v>0.0094</v>
      </c>
      <c r="U44" s="9" t="n">
        <v>0.0312</v>
      </c>
      <c r="V44" s="9" t="n">
        <v>0.025</v>
      </c>
      <c r="W44" s="9" t="n">
        <v>0.0437</v>
      </c>
      <c r="X44" s="9" t="n">
        <v>0.0281</v>
      </c>
      <c r="Y44" s="9" t="n">
        <v>0.0219</v>
      </c>
      <c r="Z44" s="9" t="n">
        <v>0.0625</v>
      </c>
      <c r="AA44" s="9" t="n">
        <v>0.0469</v>
      </c>
      <c r="AB44" s="9" t="n">
        <v>0.0469</v>
      </c>
      <c r="AC44" s="9" t="n">
        <v>0.2687</v>
      </c>
      <c r="AD44" s="9" t="n">
        <v>0.0219</v>
      </c>
      <c r="AE44" s="9" t="n">
        <v>0.1437</v>
      </c>
      <c r="AF44" s="9" t="n">
        <v>0.0031</v>
      </c>
      <c r="AG44" s="9" t="n">
        <v>0.0625</v>
      </c>
      <c r="AH44" s="9" t="n">
        <v>0.0094</v>
      </c>
      <c r="AI44" s="9" t="n">
        <v>0.8875</v>
      </c>
      <c r="AJ44" s="9" t="n">
        <v>1.1268</v>
      </c>
      <c r="AK44" s="9" t="n">
        <v>68.38</v>
      </c>
    </row>
    <row r="45">
      <c r="A45" s="8" t="n">
        <v>35</v>
      </c>
      <c r="B45" s="8" t="inlineStr">
        <is>
          <t>万盛经开区</t>
        </is>
      </c>
      <c r="C45" s="8" t="n">
        <v>0.9</v>
      </c>
      <c r="D45" s="8" t="n">
        <v>7.21</v>
      </c>
      <c r="E45" s="8" t="n">
        <v>1.8</v>
      </c>
      <c r="F45" s="8" t="n">
        <v>4.95</v>
      </c>
      <c r="G45" s="8" t="n">
        <v>1.8</v>
      </c>
      <c r="H45" s="8" t="n">
        <v>6.76</v>
      </c>
      <c r="I45" s="8" t="n">
        <v>4.5</v>
      </c>
      <c r="J45" s="8" t="n">
        <v>0</v>
      </c>
      <c r="K45" s="8" t="n">
        <v>0.45</v>
      </c>
      <c r="L45" s="8" t="n">
        <v>4.05</v>
      </c>
      <c r="M45" s="8" t="n">
        <v>21.17</v>
      </c>
      <c r="N45" s="8" t="n">
        <v>17.57</v>
      </c>
      <c r="O45" s="8" t="n">
        <v>22.97</v>
      </c>
      <c r="P45" s="8" t="n">
        <v>3.6</v>
      </c>
      <c r="Q45" s="8" t="n">
        <v>0</v>
      </c>
      <c r="R45" s="8" t="n">
        <v>2.25</v>
      </c>
      <c r="S45" s="8" t="n">
        <v>0.0535</v>
      </c>
      <c r="T45" s="8" t="n">
        <v>0.009599999999999999</v>
      </c>
      <c r="U45" s="8" t="n">
        <v>0.0445</v>
      </c>
      <c r="V45" s="8" t="n">
        <v>0.013</v>
      </c>
      <c r="W45" s="8" t="n">
        <v>0.0445</v>
      </c>
      <c r="X45" s="8" t="n">
        <v>0.0051</v>
      </c>
      <c r="Y45" s="8" t="n">
        <v>0.0175</v>
      </c>
      <c r="Z45" s="8" t="n">
        <v>0.0625</v>
      </c>
      <c r="AA45" s="8" t="n">
        <v>0.058</v>
      </c>
      <c r="AB45" s="8" t="n">
        <v>0.022</v>
      </c>
      <c r="AC45" s="8" t="n">
        <v>0.1492</v>
      </c>
      <c r="AD45" s="8" t="n">
        <v>0.1132</v>
      </c>
      <c r="AE45" s="8" t="n">
        <v>0.1672</v>
      </c>
      <c r="AF45" s="8" t="n">
        <v>0.0265</v>
      </c>
      <c r="AG45" s="8" t="n">
        <v>0.0625</v>
      </c>
      <c r="AH45" s="8" t="n">
        <v>0.04</v>
      </c>
      <c r="AI45" s="8" t="n">
        <v>0.8885</v>
      </c>
      <c r="AJ45" s="8" t="n">
        <v>1.1255</v>
      </c>
      <c r="AK45" s="8" t="n">
        <v>68.31999999999999</v>
      </c>
    </row>
    <row r="46">
      <c r="A46" s="9" t="n">
        <v>36</v>
      </c>
      <c r="B46" s="9" t="inlineStr">
        <is>
          <t>秀山县</t>
        </is>
      </c>
      <c r="C46" s="9" t="n">
        <v>0</v>
      </c>
      <c r="D46" s="9" t="n">
        <v>5.95</v>
      </c>
      <c r="E46" s="9" t="n">
        <v>1.19</v>
      </c>
      <c r="F46" s="9" t="n">
        <v>10.32</v>
      </c>
      <c r="G46" s="9" t="n">
        <v>1.98</v>
      </c>
      <c r="H46" s="9" t="n">
        <v>1.98</v>
      </c>
      <c r="I46" s="9" t="n">
        <v>0.79</v>
      </c>
      <c r="J46" s="9" t="n">
        <v>0.79</v>
      </c>
      <c r="K46" s="9" t="n">
        <v>0.79</v>
      </c>
      <c r="L46" s="9" t="n">
        <v>6.35</v>
      </c>
      <c r="M46" s="9" t="n">
        <v>30.56</v>
      </c>
      <c r="N46" s="9" t="n">
        <v>18.25</v>
      </c>
      <c r="O46" s="9" t="n">
        <v>9.52</v>
      </c>
      <c r="P46" s="9" t="n">
        <v>7.94</v>
      </c>
      <c r="Q46" s="9" t="n">
        <v>0</v>
      </c>
      <c r="R46" s="9" t="n">
        <v>3.57</v>
      </c>
      <c r="S46" s="9" t="n">
        <v>0.0625</v>
      </c>
      <c r="T46" s="9" t="n">
        <v>0.003</v>
      </c>
      <c r="U46" s="9" t="n">
        <v>0.0506</v>
      </c>
      <c r="V46" s="9" t="n">
        <v>0.0407</v>
      </c>
      <c r="W46" s="9" t="n">
        <v>0.0427</v>
      </c>
      <c r="X46" s="9" t="n">
        <v>0.0427</v>
      </c>
      <c r="Y46" s="9" t="n">
        <v>0.0546</v>
      </c>
      <c r="Z46" s="9" t="n">
        <v>0.0546</v>
      </c>
      <c r="AA46" s="9" t="n">
        <v>0.0546</v>
      </c>
      <c r="AB46" s="9" t="n">
        <v>0.001</v>
      </c>
      <c r="AC46" s="9" t="n">
        <v>0.2431</v>
      </c>
      <c r="AD46" s="9" t="n">
        <v>0.12</v>
      </c>
      <c r="AE46" s="9" t="n">
        <v>0.0327</v>
      </c>
      <c r="AF46" s="9" t="n">
        <v>0.0169</v>
      </c>
      <c r="AG46" s="9" t="n">
        <v>0.0625</v>
      </c>
      <c r="AH46" s="9" t="n">
        <v>0.0268</v>
      </c>
      <c r="AI46" s="9" t="n">
        <v>0.9087</v>
      </c>
      <c r="AJ46" s="9" t="n">
        <v>1.1004</v>
      </c>
      <c r="AK46" s="9" t="n">
        <v>66.98</v>
      </c>
    </row>
    <row r="47">
      <c r="A47" s="8" t="n">
        <v>37</v>
      </c>
      <c r="B47" s="8" t="inlineStr">
        <is>
          <t>酉阳县</t>
        </is>
      </c>
      <c r="C47" s="8" t="n">
        <v>0.25</v>
      </c>
      <c r="D47" s="8" t="n">
        <v>4.28</v>
      </c>
      <c r="E47" s="8" t="n">
        <v>3.02</v>
      </c>
      <c r="F47" s="8" t="n">
        <v>3.53</v>
      </c>
      <c r="G47" s="8" t="n">
        <v>2.27</v>
      </c>
      <c r="H47" s="8" t="n">
        <v>2.27</v>
      </c>
      <c r="I47" s="8" t="n">
        <v>5.04</v>
      </c>
      <c r="J47" s="8" t="n">
        <v>0.25</v>
      </c>
      <c r="K47" s="8" t="n">
        <v>2.27</v>
      </c>
      <c r="L47" s="8" t="n">
        <v>3.53</v>
      </c>
      <c r="M47" s="8" t="n">
        <v>24.69</v>
      </c>
      <c r="N47" s="8" t="n">
        <v>24.43</v>
      </c>
      <c r="O47" s="8" t="n">
        <v>15.62</v>
      </c>
      <c r="P47" s="8" t="n">
        <v>4.79</v>
      </c>
      <c r="Q47" s="8" t="n">
        <v>0</v>
      </c>
      <c r="R47" s="8" t="n">
        <v>3.78</v>
      </c>
      <c r="S47" s="8" t="n">
        <v>0.06</v>
      </c>
      <c r="T47" s="8" t="n">
        <v>0.0197</v>
      </c>
      <c r="U47" s="8" t="n">
        <v>0.0323</v>
      </c>
      <c r="V47" s="8" t="n">
        <v>0.0272</v>
      </c>
      <c r="W47" s="8" t="n">
        <v>0.0398</v>
      </c>
      <c r="X47" s="8" t="n">
        <v>0.0398</v>
      </c>
      <c r="Y47" s="8" t="n">
        <v>0.0121</v>
      </c>
      <c r="Z47" s="8" t="n">
        <v>0.06</v>
      </c>
      <c r="AA47" s="8" t="n">
        <v>0.0398</v>
      </c>
      <c r="AB47" s="8" t="n">
        <v>0.0272</v>
      </c>
      <c r="AC47" s="8" t="n">
        <v>0.1844</v>
      </c>
      <c r="AD47" s="8" t="n">
        <v>0.1818</v>
      </c>
      <c r="AE47" s="8" t="n">
        <v>0.09370000000000001</v>
      </c>
      <c r="AF47" s="8" t="n">
        <v>0.0146</v>
      </c>
      <c r="AG47" s="8" t="n">
        <v>0.0625</v>
      </c>
      <c r="AH47" s="8" t="n">
        <v>0.0247</v>
      </c>
      <c r="AI47" s="8" t="n">
        <v>0.9197</v>
      </c>
      <c r="AJ47" s="8" t="n">
        <v>1.0873</v>
      </c>
      <c r="AK47" s="8" t="n">
        <v>66.28</v>
      </c>
    </row>
    <row r="48">
      <c r="A48" s="9" t="n">
        <v>38</v>
      </c>
      <c r="B48" s="9" t="inlineStr">
        <is>
          <t>城口县</t>
        </is>
      </c>
      <c r="C48" s="9" t="n">
        <v>0.41</v>
      </c>
      <c r="D48" s="9" t="n">
        <v>6.2</v>
      </c>
      <c r="E48" s="9" t="n">
        <v>0.83</v>
      </c>
      <c r="F48" s="9" t="n">
        <v>4.96</v>
      </c>
      <c r="G48" s="9" t="n">
        <v>0.41</v>
      </c>
      <c r="H48" s="9" t="n">
        <v>3.31</v>
      </c>
      <c r="I48" s="9" t="n">
        <v>1.24</v>
      </c>
      <c r="J48" s="9" t="n">
        <v>0</v>
      </c>
      <c r="K48" s="9" t="n">
        <v>0.41</v>
      </c>
      <c r="L48" s="9" t="n">
        <v>8.26</v>
      </c>
      <c r="M48" s="9" t="n">
        <v>23.55</v>
      </c>
      <c r="N48" s="9" t="n">
        <v>23.55</v>
      </c>
      <c r="O48" s="9" t="n">
        <v>14.46</v>
      </c>
      <c r="P48" s="9" t="n">
        <v>8.26</v>
      </c>
      <c r="Q48" s="9" t="n">
        <v>0</v>
      </c>
      <c r="R48" s="9" t="n">
        <v>4.13</v>
      </c>
      <c r="S48" s="9" t="n">
        <v>0.0584</v>
      </c>
      <c r="T48" s="9" t="n">
        <v>0.0005</v>
      </c>
      <c r="U48" s="9" t="n">
        <v>0.0542</v>
      </c>
      <c r="V48" s="9" t="n">
        <v>0.0129</v>
      </c>
      <c r="W48" s="9" t="n">
        <v>0.0584</v>
      </c>
      <c r="X48" s="9" t="n">
        <v>0.0294</v>
      </c>
      <c r="Y48" s="9" t="n">
        <v>0.0501</v>
      </c>
      <c r="Z48" s="9" t="n">
        <v>0.0625</v>
      </c>
      <c r="AA48" s="9" t="n">
        <v>0.0584</v>
      </c>
      <c r="AB48" s="9" t="n">
        <v>0.0201</v>
      </c>
      <c r="AC48" s="9" t="n">
        <v>0.173</v>
      </c>
      <c r="AD48" s="9" t="n">
        <v>0.173</v>
      </c>
      <c r="AE48" s="9" t="n">
        <v>0.08210000000000001</v>
      </c>
      <c r="AF48" s="9" t="n">
        <v>0.0201</v>
      </c>
      <c r="AG48" s="9" t="n">
        <v>0.0625</v>
      </c>
      <c r="AH48" s="9" t="n">
        <v>0.0212</v>
      </c>
      <c r="AI48" s="9" t="n">
        <v>0.9370000000000001</v>
      </c>
      <c r="AJ48" s="9" t="n">
        <v>1.0673</v>
      </c>
      <c r="AK48" s="9" t="n">
        <v>65.20999999999999</v>
      </c>
    </row>
    <row r="49">
      <c r="A49" s="8" t="n">
        <v>39</v>
      </c>
      <c r="B49" s="8" t="inlineStr">
        <is>
          <t>垫江县</t>
        </is>
      </c>
      <c r="C49" s="8" t="n">
        <v>0</v>
      </c>
      <c r="D49" s="8" t="n">
        <v>2.78</v>
      </c>
      <c r="E49" s="8" t="n">
        <v>1.98</v>
      </c>
      <c r="F49" s="8" t="n">
        <v>7.14</v>
      </c>
      <c r="G49" s="8" t="n">
        <v>0.79</v>
      </c>
      <c r="H49" s="8" t="n">
        <v>4.76</v>
      </c>
      <c r="I49" s="8" t="n">
        <v>7.14</v>
      </c>
      <c r="J49" s="8" t="n">
        <v>0</v>
      </c>
      <c r="K49" s="8" t="n">
        <v>0</v>
      </c>
      <c r="L49" s="8" t="n">
        <v>1.19</v>
      </c>
      <c r="M49" s="8" t="n">
        <v>19.84</v>
      </c>
      <c r="N49" s="8" t="n">
        <v>17.06</v>
      </c>
      <c r="O49" s="8" t="n">
        <v>23.41</v>
      </c>
      <c r="P49" s="8" t="n">
        <v>9.92</v>
      </c>
      <c r="Q49" s="8" t="n">
        <v>0.4</v>
      </c>
      <c r="R49" s="8" t="n">
        <v>3.57</v>
      </c>
      <c r="S49" s="8" t="n">
        <v>0.0625</v>
      </c>
      <c r="T49" s="8" t="n">
        <v>0.0347</v>
      </c>
      <c r="U49" s="8" t="n">
        <v>0.0427</v>
      </c>
      <c r="V49" s="8" t="n">
        <v>0.0089</v>
      </c>
      <c r="W49" s="8" t="n">
        <v>0.0546</v>
      </c>
      <c r="X49" s="8" t="n">
        <v>0.0149</v>
      </c>
      <c r="Y49" s="8" t="n">
        <v>0.0089</v>
      </c>
      <c r="Z49" s="8" t="n">
        <v>0.0625</v>
      </c>
      <c r="AA49" s="8" t="n">
        <v>0.0625</v>
      </c>
      <c r="AB49" s="8" t="n">
        <v>0.0506</v>
      </c>
      <c r="AC49" s="8" t="n">
        <v>0.1359</v>
      </c>
      <c r="AD49" s="8" t="n">
        <v>0.1081</v>
      </c>
      <c r="AE49" s="8" t="n">
        <v>0.1716</v>
      </c>
      <c r="AF49" s="8" t="n">
        <v>0.0367</v>
      </c>
      <c r="AG49" s="8" t="n">
        <v>0.0585</v>
      </c>
      <c r="AH49" s="8" t="n">
        <v>0.0268</v>
      </c>
      <c r="AI49" s="8" t="n">
        <v>0.9405</v>
      </c>
      <c r="AJ49" s="8" t="n">
        <v>1.0633</v>
      </c>
      <c r="AK49" s="8" t="n">
        <v>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20" customWidth="1" min="5" max="5"/>
    <col width="18" customWidth="1" min="6" max="6"/>
  </cols>
  <sheetData>
    <row r="1">
      <c r="A1" s="5" t="inlineStr">
        <is>
          <t>衡量指标</t>
        </is>
      </c>
      <c r="B1" s="6" t="inlineStr">
        <is>
          <t>市级媒体-报道传播速度</t>
        </is>
      </c>
    </row>
    <row r="2">
      <c r="A2" s="5" t="inlineStr">
        <is>
          <t>一级权重</t>
        </is>
      </c>
      <c r="B2" s="6" t="inlineStr">
        <is>
          <t>15%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上游/华龙/视界网/重庆日报/ichongqing/七一网 6 家</t>
        </is>
      </c>
    </row>
    <row r="5">
      <c r="A5" s="5" t="inlineStr">
        <is>
          <t>公式</t>
        </is>
      </c>
      <c r="B5" s="6" t="inlineStr">
        <is>
          <t>freq = 报道总数 / 发布天数(COUNT DISTINCT YYYY-MM-DD)</t>
        </is>
      </c>
    </row>
    <row r="6">
      <c r="A6" s="5" t="inlineStr">
        <is>
          <t>举例</t>
        </is>
      </c>
      <c r="B6" s="6" t="inlineStr">
        <is>
          <t>如某区某 tier 60 篇报道,分布在 30 个不同日期 → freq=60/30=2.0 篇/天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按速度原始值降序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报道总数</t>
        </is>
      </c>
      <c r="D10" s="7" t="inlineStr">
        <is>
          <t>发布天数</t>
        </is>
      </c>
      <c r="E10" s="7" t="inlineStr">
        <is>
          <t>速度原始 (报道/天)</t>
        </is>
      </c>
      <c r="F10" s="7" t="inlineStr">
        <is>
          <t>速度得分 (65-95)</t>
        </is>
      </c>
    </row>
    <row r="11">
      <c r="A11" s="8" t="n">
        <v>1</v>
      </c>
      <c r="B11" s="8" t="inlineStr">
        <is>
          <t>两江新区</t>
        </is>
      </c>
      <c r="C11" s="8" t="n">
        <v>706</v>
      </c>
      <c r="D11" s="8" t="n">
        <v>260</v>
      </c>
      <c r="E11" s="8" t="n">
        <v>2.7154</v>
      </c>
      <c r="F11" s="8" t="n">
        <v>95</v>
      </c>
    </row>
    <row r="12">
      <c r="A12" s="9" t="n">
        <v>2</v>
      </c>
      <c r="B12" s="9" t="inlineStr">
        <is>
          <t>九龙坡区</t>
        </is>
      </c>
      <c r="C12" s="9" t="n">
        <v>315</v>
      </c>
      <c r="D12" s="9" t="n">
        <v>150</v>
      </c>
      <c r="E12" s="9" t="n">
        <v>2.1</v>
      </c>
      <c r="F12" s="9" t="n">
        <v>81.86</v>
      </c>
    </row>
    <row r="13">
      <c r="A13" s="8" t="n">
        <v>3</v>
      </c>
      <c r="B13" s="8" t="inlineStr">
        <is>
          <t>巴南区</t>
        </is>
      </c>
      <c r="C13" s="8" t="n">
        <v>322</v>
      </c>
      <c r="D13" s="8" t="n">
        <v>156</v>
      </c>
      <c r="E13" s="8" t="n">
        <v>2.0641</v>
      </c>
      <c r="F13" s="8" t="n">
        <v>81.09999999999999</v>
      </c>
    </row>
    <row r="14">
      <c r="A14" s="9" t="n">
        <v>4</v>
      </c>
      <c r="B14" s="9" t="inlineStr">
        <is>
          <t>涪陵区</t>
        </is>
      </c>
      <c r="C14" s="9" t="n">
        <v>415</v>
      </c>
      <c r="D14" s="9" t="n">
        <v>202</v>
      </c>
      <c r="E14" s="9" t="n">
        <v>2.0545</v>
      </c>
      <c r="F14" s="9" t="n">
        <v>80.89</v>
      </c>
    </row>
    <row r="15">
      <c r="A15" s="8" t="n">
        <v>5</v>
      </c>
      <c r="B15" s="8" t="inlineStr">
        <is>
          <t>渝中区</t>
        </is>
      </c>
      <c r="C15" s="8" t="n">
        <v>387</v>
      </c>
      <c r="D15" s="8" t="n">
        <v>190</v>
      </c>
      <c r="E15" s="8" t="n">
        <v>2.0368</v>
      </c>
      <c r="F15" s="8" t="n">
        <v>80.52</v>
      </c>
    </row>
    <row r="16">
      <c r="A16" s="9" t="n">
        <v>6</v>
      </c>
      <c r="B16" s="9" t="inlineStr">
        <is>
          <t>彭水县</t>
        </is>
      </c>
      <c r="C16" s="9" t="n">
        <v>210</v>
      </c>
      <c r="D16" s="9" t="n">
        <v>107</v>
      </c>
      <c r="E16" s="9" t="n">
        <v>1.9626</v>
      </c>
      <c r="F16" s="9" t="n">
        <v>78.93000000000001</v>
      </c>
    </row>
    <row r="17">
      <c r="A17" s="8" t="n">
        <v>7</v>
      </c>
      <c r="B17" s="8" t="inlineStr">
        <is>
          <t>酉阳县</t>
        </is>
      </c>
      <c r="C17" s="8" t="n">
        <v>230</v>
      </c>
      <c r="D17" s="8" t="n">
        <v>119</v>
      </c>
      <c r="E17" s="8" t="n">
        <v>1.9328</v>
      </c>
      <c r="F17" s="8" t="n">
        <v>78.29000000000001</v>
      </c>
    </row>
    <row r="18">
      <c r="A18" s="9" t="n">
        <v>8</v>
      </c>
      <c r="B18" s="9" t="inlineStr">
        <is>
          <t>开州区</t>
        </is>
      </c>
      <c r="C18" s="9" t="n">
        <v>244</v>
      </c>
      <c r="D18" s="9" t="n">
        <v>129</v>
      </c>
      <c r="E18" s="9" t="n">
        <v>1.8915</v>
      </c>
      <c r="F18" s="9" t="n">
        <v>77.41</v>
      </c>
    </row>
    <row r="19">
      <c r="A19" s="8" t="n">
        <v>9</v>
      </c>
      <c r="B19" s="8" t="inlineStr">
        <is>
          <t>江津区</t>
        </is>
      </c>
      <c r="C19" s="8" t="n">
        <v>299</v>
      </c>
      <c r="D19" s="8" t="n">
        <v>159</v>
      </c>
      <c r="E19" s="8" t="n">
        <v>1.8805</v>
      </c>
      <c r="F19" s="8" t="n">
        <v>77.18000000000001</v>
      </c>
    </row>
    <row r="20">
      <c r="A20" s="9" t="n">
        <v>10</v>
      </c>
      <c r="B20" s="9" t="inlineStr">
        <is>
          <t>梁平区</t>
        </is>
      </c>
      <c r="C20" s="9" t="n">
        <v>243</v>
      </c>
      <c r="D20" s="9" t="n">
        <v>131</v>
      </c>
      <c r="E20" s="9" t="n">
        <v>1.855</v>
      </c>
      <c r="F20" s="9" t="n">
        <v>76.63</v>
      </c>
    </row>
    <row r="21">
      <c r="A21" s="8" t="n">
        <v>11</v>
      </c>
      <c r="B21" s="8" t="inlineStr">
        <is>
          <t>北碚区</t>
        </is>
      </c>
      <c r="C21" s="8" t="n">
        <v>247</v>
      </c>
      <c r="D21" s="8" t="n">
        <v>134</v>
      </c>
      <c r="E21" s="8" t="n">
        <v>1.8433</v>
      </c>
      <c r="F21" s="8" t="n">
        <v>76.38</v>
      </c>
    </row>
    <row r="22">
      <c r="A22" s="9" t="n">
        <v>12</v>
      </c>
      <c r="B22" s="9" t="inlineStr">
        <is>
          <t>万州区</t>
        </is>
      </c>
      <c r="C22" s="9" t="n">
        <v>313</v>
      </c>
      <c r="D22" s="9" t="n">
        <v>172</v>
      </c>
      <c r="E22" s="9" t="n">
        <v>1.8198</v>
      </c>
      <c r="F22" s="9" t="n">
        <v>75.88</v>
      </c>
    </row>
    <row r="23">
      <c r="A23" s="8" t="n">
        <v>13</v>
      </c>
      <c r="B23" s="8" t="inlineStr">
        <is>
          <t>忠县</t>
        </is>
      </c>
      <c r="C23" s="8" t="n">
        <v>238</v>
      </c>
      <c r="D23" s="8" t="n">
        <v>131</v>
      </c>
      <c r="E23" s="8" t="n">
        <v>1.8168</v>
      </c>
      <c r="F23" s="8" t="n">
        <v>75.81999999999999</v>
      </c>
    </row>
    <row r="24">
      <c r="A24" s="9" t="n">
        <v>14</v>
      </c>
      <c r="B24" s="9" t="inlineStr">
        <is>
          <t>大渡口区</t>
        </is>
      </c>
      <c r="C24" s="9" t="n">
        <v>191</v>
      </c>
      <c r="D24" s="9" t="n">
        <v>107</v>
      </c>
      <c r="E24" s="9" t="n">
        <v>1.785</v>
      </c>
      <c r="F24" s="9" t="n">
        <v>75.14</v>
      </c>
    </row>
    <row r="25">
      <c r="A25" s="8" t="n">
        <v>15</v>
      </c>
      <c r="B25" s="8" t="inlineStr">
        <is>
          <t>黔江区</t>
        </is>
      </c>
      <c r="C25" s="8" t="n">
        <v>250</v>
      </c>
      <c r="D25" s="8" t="n">
        <v>142</v>
      </c>
      <c r="E25" s="8" t="n">
        <v>1.7606</v>
      </c>
      <c r="F25" s="8" t="n">
        <v>74.62</v>
      </c>
    </row>
    <row r="26">
      <c r="A26" s="9" t="n">
        <v>16</v>
      </c>
      <c r="B26" s="9" t="inlineStr">
        <is>
          <t>云阳县</t>
        </is>
      </c>
      <c r="C26" s="9" t="n">
        <v>239</v>
      </c>
      <c r="D26" s="9" t="n">
        <v>136</v>
      </c>
      <c r="E26" s="9" t="n">
        <v>1.7574</v>
      </c>
      <c r="F26" s="9" t="n">
        <v>74.55</v>
      </c>
    </row>
    <row r="27">
      <c r="A27" s="8" t="n">
        <v>17</v>
      </c>
      <c r="B27" s="8" t="inlineStr">
        <is>
          <t>南川区</t>
        </is>
      </c>
      <c r="C27" s="8" t="n">
        <v>230</v>
      </c>
      <c r="D27" s="8" t="n">
        <v>132</v>
      </c>
      <c r="E27" s="8" t="n">
        <v>1.7424</v>
      </c>
      <c r="F27" s="8" t="n">
        <v>74.23</v>
      </c>
    </row>
    <row r="28">
      <c r="A28" s="9" t="n">
        <v>18</v>
      </c>
      <c r="B28" s="9" t="inlineStr">
        <is>
          <t>科学城重庆高新区</t>
        </is>
      </c>
      <c r="C28" s="9" t="n">
        <v>208</v>
      </c>
      <c r="D28" s="9" t="n">
        <v>120</v>
      </c>
      <c r="E28" s="9" t="n">
        <v>1.7333</v>
      </c>
      <c r="F28" s="9" t="n">
        <v>74.04000000000001</v>
      </c>
    </row>
    <row r="29">
      <c r="A29" s="8" t="n">
        <v>19</v>
      </c>
      <c r="B29" s="8" t="inlineStr">
        <is>
          <t>沙坪坝区</t>
        </is>
      </c>
      <c r="C29" s="8" t="n">
        <v>216</v>
      </c>
      <c r="D29" s="8" t="n">
        <v>125</v>
      </c>
      <c r="E29" s="8" t="n">
        <v>1.728</v>
      </c>
      <c r="F29" s="8" t="n">
        <v>73.92</v>
      </c>
    </row>
    <row r="30">
      <c r="A30" s="9" t="n">
        <v>20</v>
      </c>
      <c r="B30" s="9" t="inlineStr">
        <is>
          <t>巫山县</t>
        </is>
      </c>
      <c r="C30" s="9" t="n">
        <v>261</v>
      </c>
      <c r="D30" s="9" t="n">
        <v>152</v>
      </c>
      <c r="E30" s="9" t="n">
        <v>1.7171</v>
      </c>
      <c r="F30" s="9" t="n">
        <v>73.69</v>
      </c>
    </row>
    <row r="31">
      <c r="A31" s="8" t="n">
        <v>21</v>
      </c>
      <c r="B31" s="8" t="inlineStr">
        <is>
          <t>武隆区</t>
        </is>
      </c>
      <c r="C31" s="8" t="n">
        <v>268</v>
      </c>
      <c r="D31" s="8" t="n">
        <v>157</v>
      </c>
      <c r="E31" s="8" t="n">
        <v>1.707</v>
      </c>
      <c r="F31" s="8" t="n">
        <v>73.47</v>
      </c>
    </row>
    <row r="32">
      <c r="A32" s="9" t="n">
        <v>22</v>
      </c>
      <c r="B32" s="9" t="inlineStr">
        <is>
          <t>南岸区</t>
        </is>
      </c>
      <c r="C32" s="9" t="n">
        <v>242</v>
      </c>
      <c r="D32" s="9" t="n">
        <v>145</v>
      </c>
      <c r="E32" s="9" t="n">
        <v>1.669</v>
      </c>
      <c r="F32" s="9" t="n">
        <v>72.66</v>
      </c>
    </row>
    <row r="33">
      <c r="A33" s="8" t="n">
        <v>23</v>
      </c>
      <c r="B33" s="8" t="inlineStr">
        <is>
          <t>城口县</t>
        </is>
      </c>
      <c r="C33" s="8" t="n">
        <v>164</v>
      </c>
      <c r="D33" s="8" t="n">
        <v>100</v>
      </c>
      <c r="E33" s="8" t="n">
        <v>1.64</v>
      </c>
      <c r="F33" s="8" t="n">
        <v>72.04000000000001</v>
      </c>
    </row>
    <row r="34">
      <c r="A34" s="9" t="n">
        <v>24</v>
      </c>
      <c r="B34" s="9" t="inlineStr">
        <is>
          <t>合川区</t>
        </is>
      </c>
      <c r="C34" s="9" t="n">
        <v>162</v>
      </c>
      <c r="D34" s="9" t="n">
        <v>99</v>
      </c>
      <c r="E34" s="9" t="n">
        <v>1.6364</v>
      </c>
      <c r="F34" s="9" t="n">
        <v>71.97</v>
      </c>
    </row>
    <row r="35">
      <c r="A35" s="8" t="n">
        <v>25</v>
      </c>
      <c r="B35" s="8" t="inlineStr">
        <is>
          <t>永川区</t>
        </is>
      </c>
      <c r="C35" s="8" t="n">
        <v>237</v>
      </c>
      <c r="D35" s="8" t="n">
        <v>145</v>
      </c>
      <c r="E35" s="8" t="n">
        <v>1.6345</v>
      </c>
      <c r="F35" s="8" t="n">
        <v>71.93000000000001</v>
      </c>
    </row>
    <row r="36">
      <c r="A36" s="9" t="n">
        <v>26</v>
      </c>
      <c r="B36" s="9" t="inlineStr">
        <is>
          <t>秀山县</t>
        </is>
      </c>
      <c r="C36" s="9" t="n">
        <v>181</v>
      </c>
      <c r="D36" s="9" t="n">
        <v>111</v>
      </c>
      <c r="E36" s="9" t="n">
        <v>1.6306</v>
      </c>
      <c r="F36" s="9" t="n">
        <v>71.84</v>
      </c>
    </row>
    <row r="37">
      <c r="A37" s="8" t="n">
        <v>27</v>
      </c>
      <c r="B37" s="8" t="inlineStr">
        <is>
          <t>奉节县</t>
        </is>
      </c>
      <c r="C37" s="8" t="n">
        <v>233</v>
      </c>
      <c r="D37" s="8" t="n">
        <v>143</v>
      </c>
      <c r="E37" s="8" t="n">
        <v>1.6294</v>
      </c>
      <c r="F37" s="8" t="n">
        <v>71.81999999999999</v>
      </c>
    </row>
    <row r="38">
      <c r="A38" s="9" t="n">
        <v>28</v>
      </c>
      <c r="B38" s="9" t="inlineStr">
        <is>
          <t>荣昌区</t>
        </is>
      </c>
      <c r="C38" s="9" t="n">
        <v>186</v>
      </c>
      <c r="D38" s="9" t="n">
        <v>117</v>
      </c>
      <c r="E38" s="9" t="n">
        <v>1.5897</v>
      </c>
      <c r="F38" s="9" t="n">
        <v>70.97</v>
      </c>
    </row>
    <row r="39">
      <c r="A39" s="8" t="n">
        <v>29</v>
      </c>
      <c r="B39" s="8" t="inlineStr">
        <is>
          <t>大足区</t>
        </is>
      </c>
      <c r="C39" s="8" t="n">
        <v>214</v>
      </c>
      <c r="D39" s="8" t="n">
        <v>136</v>
      </c>
      <c r="E39" s="8" t="n">
        <v>1.5735</v>
      </c>
      <c r="F39" s="8" t="n">
        <v>70.63</v>
      </c>
    </row>
    <row r="40">
      <c r="A40" s="9" t="n">
        <v>30</v>
      </c>
      <c r="B40" s="9" t="inlineStr">
        <is>
          <t>垫江县</t>
        </is>
      </c>
      <c r="C40" s="9" t="n">
        <v>157</v>
      </c>
      <c r="D40" s="9" t="n">
        <v>100</v>
      </c>
      <c r="E40" s="9" t="n">
        <v>1.57</v>
      </c>
      <c r="F40" s="9" t="n">
        <v>70.55</v>
      </c>
    </row>
    <row r="41">
      <c r="A41" s="8" t="n">
        <v>31</v>
      </c>
      <c r="B41" s="8" t="inlineStr">
        <is>
          <t>石柱县</t>
        </is>
      </c>
      <c r="C41" s="8" t="n">
        <v>174</v>
      </c>
      <c r="D41" s="8" t="n">
        <v>111</v>
      </c>
      <c r="E41" s="8" t="n">
        <v>1.5676</v>
      </c>
      <c r="F41" s="8" t="n">
        <v>70.5</v>
      </c>
    </row>
    <row r="42">
      <c r="A42" s="9" t="n">
        <v>32</v>
      </c>
      <c r="B42" s="9" t="inlineStr">
        <is>
          <t>万盛经开区</t>
        </is>
      </c>
      <c r="C42" s="9" t="n">
        <v>141</v>
      </c>
      <c r="D42" s="9" t="n">
        <v>90</v>
      </c>
      <c r="E42" s="9" t="n">
        <v>1.5667</v>
      </c>
      <c r="F42" s="9" t="n">
        <v>70.48</v>
      </c>
    </row>
    <row r="43">
      <c r="A43" s="8" t="n">
        <v>33</v>
      </c>
      <c r="B43" s="8" t="inlineStr">
        <is>
          <t>长寿区</t>
        </is>
      </c>
      <c r="C43" s="8" t="n">
        <v>191</v>
      </c>
      <c r="D43" s="8" t="n">
        <v>124</v>
      </c>
      <c r="E43" s="8" t="n">
        <v>1.5403</v>
      </c>
      <c r="F43" s="8" t="n">
        <v>69.92</v>
      </c>
    </row>
    <row r="44">
      <c r="A44" s="9" t="n">
        <v>34</v>
      </c>
      <c r="B44" s="9" t="inlineStr">
        <is>
          <t>铜梁区</t>
        </is>
      </c>
      <c r="C44" s="9" t="n">
        <v>188</v>
      </c>
      <c r="D44" s="9" t="n">
        <v>126</v>
      </c>
      <c r="E44" s="9" t="n">
        <v>1.4921</v>
      </c>
      <c r="F44" s="9" t="n">
        <v>68.89</v>
      </c>
    </row>
    <row r="45">
      <c r="A45" s="8" t="n">
        <v>35</v>
      </c>
      <c r="B45" s="8" t="inlineStr">
        <is>
          <t>丰都县</t>
        </is>
      </c>
      <c r="C45" s="8" t="n">
        <v>175</v>
      </c>
      <c r="D45" s="8" t="n">
        <v>118</v>
      </c>
      <c r="E45" s="8" t="n">
        <v>1.4831</v>
      </c>
      <c r="F45" s="8" t="n">
        <v>68.69</v>
      </c>
    </row>
    <row r="46">
      <c r="A46" s="9" t="n">
        <v>36</v>
      </c>
      <c r="B46" s="9" t="inlineStr">
        <is>
          <t>綦江区</t>
        </is>
      </c>
      <c r="C46" s="9" t="n">
        <v>158</v>
      </c>
      <c r="D46" s="9" t="n">
        <v>109</v>
      </c>
      <c r="E46" s="9" t="n">
        <v>1.4495</v>
      </c>
      <c r="F46" s="9" t="n">
        <v>67.98</v>
      </c>
    </row>
    <row r="47">
      <c r="A47" s="8" t="n">
        <v>37</v>
      </c>
      <c r="B47" s="8" t="inlineStr">
        <is>
          <t>璧山区</t>
        </is>
      </c>
      <c r="C47" s="8" t="n">
        <v>147</v>
      </c>
      <c r="D47" s="8" t="n">
        <v>105</v>
      </c>
      <c r="E47" s="8" t="n">
        <v>1.4</v>
      </c>
      <c r="F47" s="8" t="n">
        <v>66.92</v>
      </c>
    </row>
    <row r="48">
      <c r="A48" s="9" t="n">
        <v>38</v>
      </c>
      <c r="B48" s="9" t="inlineStr">
        <is>
          <t>巫溪县</t>
        </is>
      </c>
      <c r="C48" s="9" t="n">
        <v>108</v>
      </c>
      <c r="D48" s="9" t="n">
        <v>82</v>
      </c>
      <c r="E48" s="9" t="n">
        <v>1.3171</v>
      </c>
      <c r="F48" s="9" t="n">
        <v>65.15000000000001</v>
      </c>
    </row>
    <row r="49">
      <c r="A49" s="8" t="n">
        <v>39</v>
      </c>
      <c r="B49" s="8" t="inlineStr">
        <is>
          <t>潼南区</t>
        </is>
      </c>
      <c r="C49" s="8" t="n">
        <v>131</v>
      </c>
      <c r="D49" s="8" t="n">
        <v>100</v>
      </c>
      <c r="E49" s="8" t="n">
        <v>1.31</v>
      </c>
      <c r="F49" s="8" t="n">
        <v>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8" customWidth="1" min="20" max="20"/>
  </cols>
  <sheetData>
    <row r="1">
      <c r="A1" s="5" t="inlineStr">
        <is>
          <t>衡量指标</t>
        </is>
      </c>
      <c r="B1" s="6" t="inlineStr">
        <is>
          <t>区县媒体-报道数量</t>
        </is>
      </c>
    </row>
    <row r="2">
      <c r="A2" s="5" t="inlineStr">
        <is>
          <t>一级权重</t>
        </is>
      </c>
      <c r="B2" s="6" t="inlineStr">
        <is>
          <t>8%</t>
        </is>
      </c>
    </row>
    <row r="3">
      <c r="A3" s="5" t="inlineStr">
        <is>
          <t>二级权重</t>
        </is>
      </c>
      <c r="B3" s="6" t="inlineStr">
        <is>
          <t>40%</t>
        </is>
      </c>
    </row>
    <row r="4">
      <c r="A4" s="5" t="inlineStr">
        <is>
          <t>数据源</t>
        </is>
      </c>
      <c r="B4" s="6" t="inlineStr">
        <is>
          <t>已严格收敛: 41 融媒 + 41 政务 = 82 家(政务实际无数据)</t>
        </is>
      </c>
    </row>
    <row r="5">
      <c r="A5" s="5" t="inlineStr">
        <is>
          <t>过滤条件</t>
        </is>
      </c>
      <c r="B5" s="6" t="inlineStr">
        <is>
          <t>organization_id ; published_at ∈ [2025-01-01, 2026-01-01) ; 有 outlet_id</t>
        </is>
      </c>
    </row>
    <row r="6">
      <c r="A6" s="5" t="inlineStr">
        <is>
          <t>原始值</t>
        </is>
      </c>
      <c r="B6" s="6" t="inlineStr">
        <is>
          <t>COUNT(DISTINCT collected_item_id) per (区县, tier) ; 按 16 主题分桶各显示命中数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按报道总数降序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</t>
        </is>
      </c>
      <c r="D10" s="7" t="inlineStr">
        <is>
          <t>制度建设</t>
        </is>
      </c>
      <c r="E10" s="7" t="inlineStr">
        <is>
          <t>双碳</t>
        </is>
      </c>
      <c r="F10" s="7" t="inlineStr">
        <is>
          <t>和谐共生</t>
        </is>
      </c>
      <c r="G10" s="7" t="inlineStr">
        <is>
          <t>国家公园</t>
        </is>
      </c>
      <c r="H10" s="7" t="inlineStr">
        <is>
          <t>污染防治攻坚战</t>
        </is>
      </c>
      <c r="I10" s="7" t="inlineStr">
        <is>
          <t>清洁能源</t>
        </is>
      </c>
      <c r="J10" s="7" t="inlineStr">
        <is>
          <t>环保督察</t>
        </is>
      </c>
      <c r="K10" s="7" t="inlineStr">
        <is>
          <t>生态红线</t>
        </is>
      </c>
      <c r="L10" s="7" t="inlineStr">
        <is>
          <t>生物多样性</t>
        </is>
      </c>
      <c r="M10" s="7" t="inlineStr">
        <is>
          <t>综合治理</t>
        </is>
      </c>
      <c r="N10" s="7" t="inlineStr">
        <is>
          <t>绿水青山</t>
        </is>
      </c>
      <c r="O10" s="7" t="inlineStr">
        <is>
          <t>绿色发展</t>
        </is>
      </c>
      <c r="P10" s="7" t="inlineStr">
        <is>
          <t>美丽中国</t>
        </is>
      </c>
      <c r="Q10" s="7" t="inlineStr">
        <is>
          <t>资源节约</t>
        </is>
      </c>
      <c r="R10" s="7" t="inlineStr">
        <is>
          <t>长江生态</t>
        </is>
      </c>
      <c r="S10" s="7" t="inlineStr">
        <is>
          <t>报道总数 (原始)</t>
        </is>
      </c>
      <c r="T10" s="7" t="inlineStr">
        <is>
          <t>数量得分 (65-95)</t>
        </is>
      </c>
    </row>
    <row r="11">
      <c r="A11" s="8" t="n">
        <v>1</v>
      </c>
      <c r="B11" s="8" t="inlineStr">
        <is>
          <t>城口县</t>
        </is>
      </c>
      <c r="C11" s="8" t="n">
        <v>2</v>
      </c>
      <c r="D11" s="8" t="n">
        <v>33</v>
      </c>
      <c r="E11" s="8" t="n">
        <v>7</v>
      </c>
      <c r="F11" s="8" t="n">
        <v>8</v>
      </c>
      <c r="G11" s="8" t="n">
        <v>5</v>
      </c>
      <c r="H11" s="8" t="n">
        <v>7</v>
      </c>
      <c r="I11" s="8" t="n">
        <v>16</v>
      </c>
      <c r="J11" s="8" t="n">
        <v>3</v>
      </c>
      <c r="K11" s="8" t="n">
        <v>7</v>
      </c>
      <c r="L11" s="8" t="n">
        <v>16</v>
      </c>
      <c r="M11" s="8" t="n">
        <v>123</v>
      </c>
      <c r="N11" s="8" t="n">
        <v>86</v>
      </c>
      <c r="O11" s="8" t="n">
        <v>75</v>
      </c>
      <c r="P11" s="8" t="n">
        <v>34</v>
      </c>
      <c r="Q11" s="8" t="n">
        <v>2</v>
      </c>
      <c r="R11" s="8" t="n">
        <v>27</v>
      </c>
      <c r="S11" s="8" t="n">
        <v>268</v>
      </c>
      <c r="T11" s="8" t="n">
        <v>95</v>
      </c>
    </row>
    <row r="12">
      <c r="A12" s="9" t="n">
        <v>2</v>
      </c>
      <c r="B12" s="9" t="inlineStr">
        <is>
          <t>巫溪县</t>
        </is>
      </c>
      <c r="C12" s="9" t="n">
        <v>1</v>
      </c>
      <c r="D12" s="9" t="n">
        <v>31</v>
      </c>
      <c r="E12" s="9" t="n">
        <v>15</v>
      </c>
      <c r="F12" s="9" t="n">
        <v>9</v>
      </c>
      <c r="G12" s="9" t="n">
        <v>18</v>
      </c>
      <c r="H12" s="9" t="n">
        <v>7</v>
      </c>
      <c r="I12" s="9" t="n">
        <v>19</v>
      </c>
      <c r="J12" s="9" t="n">
        <v>1</v>
      </c>
      <c r="K12" s="9" t="n">
        <v>4</v>
      </c>
      <c r="L12" s="9" t="n">
        <v>20</v>
      </c>
      <c r="M12" s="9" t="n">
        <v>109</v>
      </c>
      <c r="N12" s="9" t="n">
        <v>27</v>
      </c>
      <c r="O12" s="9" t="n">
        <v>87</v>
      </c>
      <c r="P12" s="9" t="n">
        <v>29</v>
      </c>
      <c r="Q12" s="9" t="n">
        <v>2</v>
      </c>
      <c r="R12" s="9" t="n">
        <v>9</v>
      </c>
      <c r="S12" s="9" t="n">
        <v>264</v>
      </c>
      <c r="T12" s="9" t="n">
        <v>94.34999999999999</v>
      </c>
    </row>
    <row r="13">
      <c r="A13" s="8" t="n">
        <v>3</v>
      </c>
      <c r="B13" s="8" t="inlineStr">
        <is>
          <t>石柱县</t>
        </is>
      </c>
      <c r="C13" s="8" t="n">
        <v>10</v>
      </c>
      <c r="D13" s="8" t="n">
        <v>32</v>
      </c>
      <c r="E13" s="8" t="n">
        <v>11</v>
      </c>
      <c r="F13" s="8" t="n">
        <v>7</v>
      </c>
      <c r="G13" s="8" t="n">
        <v>9</v>
      </c>
      <c r="H13" s="8" t="n">
        <v>6</v>
      </c>
      <c r="I13" s="8" t="n">
        <v>19</v>
      </c>
      <c r="J13" s="8" t="n">
        <v>1</v>
      </c>
      <c r="K13" s="8" t="n">
        <v>1</v>
      </c>
      <c r="L13" s="8" t="n">
        <v>6</v>
      </c>
      <c r="M13" s="8" t="n">
        <v>75</v>
      </c>
      <c r="N13" s="8" t="n">
        <v>27</v>
      </c>
      <c r="O13" s="8" t="n">
        <v>69</v>
      </c>
      <c r="P13" s="8" t="n">
        <v>33</v>
      </c>
      <c r="Q13" s="8" t="n">
        <v>2</v>
      </c>
      <c r="R13" s="8" t="n">
        <v>38</v>
      </c>
      <c r="S13" s="8" t="n">
        <v>236</v>
      </c>
      <c r="T13" s="8" t="n">
        <v>89.84</v>
      </c>
    </row>
    <row r="14">
      <c r="A14" s="9" t="n">
        <v>4</v>
      </c>
      <c r="B14" s="9" t="inlineStr">
        <is>
          <t>彭水县</t>
        </is>
      </c>
      <c r="C14" s="9" t="n">
        <v>2</v>
      </c>
      <c r="D14" s="9" t="n">
        <v>29</v>
      </c>
      <c r="E14" s="9" t="n">
        <v>8</v>
      </c>
      <c r="F14" s="9" t="n">
        <v>7</v>
      </c>
      <c r="G14" s="9" t="n">
        <v>11</v>
      </c>
      <c r="H14" s="9" t="n">
        <v>10</v>
      </c>
      <c r="I14" s="9" t="n">
        <v>17</v>
      </c>
      <c r="J14" s="9" t="n">
        <v>0</v>
      </c>
      <c r="K14" s="9" t="n">
        <v>2</v>
      </c>
      <c r="L14" s="9" t="n">
        <v>8</v>
      </c>
      <c r="M14" s="9" t="n">
        <v>115</v>
      </c>
      <c r="N14" s="9" t="n">
        <v>55</v>
      </c>
      <c r="O14" s="9" t="n">
        <v>46</v>
      </c>
      <c r="P14" s="9" t="n">
        <v>35</v>
      </c>
      <c r="Q14" s="9" t="n">
        <v>1</v>
      </c>
      <c r="R14" s="9" t="n">
        <v>29</v>
      </c>
      <c r="S14" s="9" t="n">
        <v>234</v>
      </c>
      <c r="T14" s="9" t="n">
        <v>89.52</v>
      </c>
    </row>
    <row r="15">
      <c r="A15" s="8" t="n">
        <v>5</v>
      </c>
      <c r="B15" s="8" t="inlineStr">
        <is>
          <t>渝中区</t>
        </is>
      </c>
      <c r="C15" s="8" t="n">
        <v>4</v>
      </c>
      <c r="D15" s="8" t="n">
        <v>25</v>
      </c>
      <c r="E15" s="8" t="n">
        <v>14</v>
      </c>
      <c r="F15" s="8" t="n">
        <v>13</v>
      </c>
      <c r="G15" s="8" t="n">
        <v>6</v>
      </c>
      <c r="H15" s="8" t="n">
        <v>7</v>
      </c>
      <c r="I15" s="8" t="n">
        <v>15</v>
      </c>
      <c r="J15" s="8" t="n">
        <v>0</v>
      </c>
      <c r="K15" s="8" t="n">
        <v>6</v>
      </c>
      <c r="L15" s="8" t="n">
        <v>6</v>
      </c>
      <c r="M15" s="8" t="n">
        <v>91</v>
      </c>
      <c r="N15" s="8" t="n">
        <v>18</v>
      </c>
      <c r="O15" s="8" t="n">
        <v>96</v>
      </c>
      <c r="P15" s="8" t="n">
        <v>21</v>
      </c>
      <c r="Q15" s="8" t="n">
        <v>1</v>
      </c>
      <c r="R15" s="8" t="n">
        <v>60</v>
      </c>
      <c r="S15" s="8" t="n">
        <v>231</v>
      </c>
      <c r="T15" s="8" t="n">
        <v>89.03</v>
      </c>
    </row>
    <row r="16">
      <c r="A16" s="9" t="n">
        <v>6</v>
      </c>
      <c r="B16" s="9" t="inlineStr">
        <is>
          <t>涪陵区</t>
        </is>
      </c>
      <c r="C16" s="9" t="n">
        <v>9</v>
      </c>
      <c r="D16" s="9" t="n">
        <v>18</v>
      </c>
      <c r="E16" s="9" t="n">
        <v>8</v>
      </c>
      <c r="F16" s="9" t="n">
        <v>9</v>
      </c>
      <c r="G16" s="9" t="n">
        <v>26</v>
      </c>
      <c r="H16" s="9" t="n">
        <v>13</v>
      </c>
      <c r="I16" s="9" t="n">
        <v>25</v>
      </c>
      <c r="J16" s="9" t="n">
        <v>0</v>
      </c>
      <c r="K16" s="9" t="n">
        <v>0</v>
      </c>
      <c r="L16" s="9" t="n">
        <v>5</v>
      </c>
      <c r="M16" s="9" t="n">
        <v>45</v>
      </c>
      <c r="N16" s="9" t="n">
        <v>19</v>
      </c>
      <c r="O16" s="9" t="n">
        <v>68</v>
      </c>
      <c r="P16" s="9" t="n">
        <v>25</v>
      </c>
      <c r="Q16" s="9" t="n">
        <v>1</v>
      </c>
      <c r="R16" s="9" t="n">
        <v>62</v>
      </c>
      <c r="S16" s="9" t="n">
        <v>226</v>
      </c>
      <c r="T16" s="9" t="n">
        <v>88.23</v>
      </c>
    </row>
    <row r="17">
      <c r="A17" s="8" t="n">
        <v>7</v>
      </c>
      <c r="B17" s="8" t="inlineStr">
        <is>
          <t>武隆区</t>
        </is>
      </c>
      <c r="C17" s="8" t="n">
        <v>0</v>
      </c>
      <c r="D17" s="8" t="n">
        <v>20</v>
      </c>
      <c r="E17" s="8" t="n">
        <v>4</v>
      </c>
      <c r="F17" s="8" t="n">
        <v>7</v>
      </c>
      <c r="G17" s="8" t="n">
        <v>39</v>
      </c>
      <c r="H17" s="8" t="n">
        <v>9</v>
      </c>
      <c r="I17" s="8" t="n">
        <v>13</v>
      </c>
      <c r="J17" s="8" t="n">
        <v>4</v>
      </c>
      <c r="K17" s="8" t="n">
        <v>8</v>
      </c>
      <c r="L17" s="8" t="n">
        <v>7</v>
      </c>
      <c r="M17" s="8" t="n">
        <v>69</v>
      </c>
      <c r="N17" s="8" t="n">
        <v>54</v>
      </c>
      <c r="O17" s="8" t="n">
        <v>46</v>
      </c>
      <c r="P17" s="8" t="n">
        <v>31</v>
      </c>
      <c r="Q17" s="8" t="n">
        <v>1</v>
      </c>
      <c r="R17" s="8" t="n">
        <v>23</v>
      </c>
      <c r="S17" s="8" t="n">
        <v>220</v>
      </c>
      <c r="T17" s="8" t="n">
        <v>87.26000000000001</v>
      </c>
    </row>
    <row r="18">
      <c r="A18" s="9" t="n">
        <v>8</v>
      </c>
      <c r="B18" s="9" t="inlineStr">
        <is>
          <t>奉节县</t>
        </is>
      </c>
      <c r="C18" s="9" t="n">
        <v>0</v>
      </c>
      <c r="D18" s="9" t="n">
        <v>21</v>
      </c>
      <c r="E18" s="9" t="n">
        <v>2</v>
      </c>
      <c r="F18" s="9" t="n">
        <v>13</v>
      </c>
      <c r="G18" s="9" t="n">
        <v>5</v>
      </c>
      <c r="H18" s="9" t="n">
        <v>6</v>
      </c>
      <c r="I18" s="9" t="n">
        <v>33</v>
      </c>
      <c r="J18" s="9" t="n">
        <v>1</v>
      </c>
      <c r="K18" s="9" t="n">
        <v>6</v>
      </c>
      <c r="L18" s="9" t="n">
        <v>5</v>
      </c>
      <c r="M18" s="9" t="n">
        <v>71</v>
      </c>
      <c r="N18" s="9" t="n">
        <v>60</v>
      </c>
      <c r="O18" s="9" t="n">
        <v>65</v>
      </c>
      <c r="P18" s="9" t="n">
        <v>32</v>
      </c>
      <c r="Q18" s="9" t="n">
        <v>1</v>
      </c>
      <c r="R18" s="9" t="n">
        <v>36</v>
      </c>
      <c r="S18" s="9" t="n">
        <v>207</v>
      </c>
      <c r="T18" s="9" t="n">
        <v>85.16</v>
      </c>
    </row>
    <row r="19">
      <c r="A19" s="8" t="n">
        <v>9</v>
      </c>
      <c r="B19" s="8" t="inlineStr">
        <is>
          <t>万盛经开区</t>
        </is>
      </c>
      <c r="C19" s="8" t="n">
        <v>1</v>
      </c>
      <c r="D19" s="8" t="n">
        <v>19</v>
      </c>
      <c r="E19" s="8" t="n">
        <v>5</v>
      </c>
      <c r="F19" s="8" t="n">
        <v>9</v>
      </c>
      <c r="G19" s="8" t="n">
        <v>9</v>
      </c>
      <c r="H19" s="8" t="n">
        <v>8</v>
      </c>
      <c r="I19" s="8" t="n">
        <v>9</v>
      </c>
      <c r="J19" s="8" t="n">
        <v>16</v>
      </c>
      <c r="K19" s="8" t="n">
        <v>3</v>
      </c>
      <c r="L19" s="8" t="n">
        <v>5</v>
      </c>
      <c r="M19" s="8" t="n">
        <v>96</v>
      </c>
      <c r="N19" s="8" t="n">
        <v>27</v>
      </c>
      <c r="O19" s="8" t="n">
        <v>64</v>
      </c>
      <c r="P19" s="8" t="n">
        <v>13</v>
      </c>
      <c r="Q19" s="8" t="n">
        <v>1</v>
      </c>
      <c r="R19" s="8" t="n">
        <v>11</v>
      </c>
      <c r="S19" s="8" t="n">
        <v>200</v>
      </c>
      <c r="T19" s="8" t="n">
        <v>84.03</v>
      </c>
    </row>
    <row r="20">
      <c r="A20" s="9" t="n">
        <v>10</v>
      </c>
      <c r="B20" s="9" t="inlineStr">
        <is>
          <t>巫山县</t>
        </is>
      </c>
      <c r="C20" s="9" t="n">
        <v>1</v>
      </c>
      <c r="D20" s="9" t="n">
        <v>16</v>
      </c>
      <c r="E20" s="9" t="n">
        <v>6</v>
      </c>
      <c r="F20" s="9" t="n">
        <v>8</v>
      </c>
      <c r="G20" s="9" t="n">
        <v>5</v>
      </c>
      <c r="H20" s="9" t="n">
        <v>14</v>
      </c>
      <c r="I20" s="9" t="n">
        <v>23</v>
      </c>
      <c r="J20" s="9" t="n">
        <v>0</v>
      </c>
      <c r="K20" s="9" t="n">
        <v>2</v>
      </c>
      <c r="L20" s="9" t="n">
        <v>4</v>
      </c>
      <c r="M20" s="9" t="n">
        <v>70</v>
      </c>
      <c r="N20" s="9" t="n">
        <v>73</v>
      </c>
      <c r="O20" s="9" t="n">
        <v>54</v>
      </c>
      <c r="P20" s="9" t="n">
        <v>26</v>
      </c>
      <c r="Q20" s="9" t="n">
        <v>0</v>
      </c>
      <c r="R20" s="9" t="n">
        <v>36</v>
      </c>
      <c r="S20" s="9" t="n">
        <v>196</v>
      </c>
      <c r="T20" s="9" t="n">
        <v>83.39</v>
      </c>
    </row>
    <row r="21">
      <c r="A21" s="8" t="n">
        <v>11</v>
      </c>
      <c r="B21" s="8" t="inlineStr">
        <is>
          <t>江津区</t>
        </is>
      </c>
      <c r="C21" s="8" t="n">
        <v>6</v>
      </c>
      <c r="D21" s="8" t="n">
        <v>17</v>
      </c>
      <c r="E21" s="8" t="n">
        <v>18</v>
      </c>
      <c r="F21" s="8" t="n">
        <v>10</v>
      </c>
      <c r="G21" s="8" t="n">
        <v>12</v>
      </c>
      <c r="H21" s="8" t="n">
        <v>1</v>
      </c>
      <c r="I21" s="8" t="n">
        <v>31</v>
      </c>
      <c r="J21" s="8" t="n">
        <v>0</v>
      </c>
      <c r="K21" s="8" t="n">
        <v>0</v>
      </c>
      <c r="L21" s="8" t="n">
        <v>7</v>
      </c>
      <c r="M21" s="8" t="n">
        <v>42</v>
      </c>
      <c r="N21" s="8" t="n">
        <v>9</v>
      </c>
      <c r="O21" s="8" t="n">
        <v>42</v>
      </c>
      <c r="P21" s="8" t="n">
        <v>24</v>
      </c>
      <c r="Q21" s="8" t="n">
        <v>1</v>
      </c>
      <c r="R21" s="8" t="n">
        <v>40</v>
      </c>
      <c r="S21" s="8" t="n">
        <v>196</v>
      </c>
      <c r="T21" s="8" t="n">
        <v>83.39</v>
      </c>
    </row>
    <row r="22">
      <c r="A22" s="9" t="n">
        <v>12</v>
      </c>
      <c r="B22" s="9" t="inlineStr">
        <is>
          <t>黔江区</t>
        </is>
      </c>
      <c r="C22" s="9" t="n">
        <v>6</v>
      </c>
      <c r="D22" s="9" t="n">
        <v>20</v>
      </c>
      <c r="E22" s="9" t="n">
        <v>2</v>
      </c>
      <c r="F22" s="9" t="n">
        <v>3</v>
      </c>
      <c r="G22" s="9" t="n">
        <v>16</v>
      </c>
      <c r="H22" s="9" t="n">
        <v>4</v>
      </c>
      <c r="I22" s="9" t="n">
        <v>12</v>
      </c>
      <c r="J22" s="9" t="n">
        <v>0</v>
      </c>
      <c r="K22" s="9" t="n">
        <v>9</v>
      </c>
      <c r="L22" s="9" t="n">
        <v>5</v>
      </c>
      <c r="M22" s="9" t="n">
        <v>78</v>
      </c>
      <c r="N22" s="9" t="n">
        <v>31</v>
      </c>
      <c r="O22" s="9" t="n">
        <v>49</v>
      </c>
      <c r="P22" s="9" t="n">
        <v>27</v>
      </c>
      <c r="Q22" s="9" t="n">
        <v>2</v>
      </c>
      <c r="R22" s="9" t="n">
        <v>21</v>
      </c>
      <c r="S22" s="9" t="n">
        <v>192</v>
      </c>
      <c r="T22" s="9" t="n">
        <v>82.73999999999999</v>
      </c>
    </row>
    <row r="23">
      <c r="A23" s="8" t="n">
        <v>13</v>
      </c>
      <c r="B23" s="8" t="inlineStr">
        <is>
          <t>两江新区</t>
        </is>
      </c>
      <c r="C23" s="8" t="n">
        <v>2</v>
      </c>
      <c r="D23" s="8" t="n">
        <v>16</v>
      </c>
      <c r="E23" s="8" t="n">
        <v>16</v>
      </c>
      <c r="F23" s="8" t="n">
        <v>4</v>
      </c>
      <c r="G23" s="8" t="n">
        <v>10</v>
      </c>
      <c r="H23" s="8" t="n">
        <v>4</v>
      </c>
      <c r="I23" s="8" t="n">
        <v>26</v>
      </c>
      <c r="J23" s="8" t="n">
        <v>0</v>
      </c>
      <c r="K23" s="8" t="n">
        <v>2</v>
      </c>
      <c r="L23" s="8" t="n">
        <v>8</v>
      </c>
      <c r="M23" s="8" t="n">
        <v>55</v>
      </c>
      <c r="N23" s="8" t="n">
        <v>12</v>
      </c>
      <c r="O23" s="8" t="n">
        <v>64</v>
      </c>
      <c r="P23" s="8" t="n">
        <v>25</v>
      </c>
      <c r="Q23" s="8" t="n">
        <v>4</v>
      </c>
      <c r="R23" s="8" t="n">
        <v>24</v>
      </c>
      <c r="S23" s="8" t="n">
        <v>190</v>
      </c>
      <c r="T23" s="8" t="n">
        <v>82.42</v>
      </c>
    </row>
    <row r="24">
      <c r="A24" s="9" t="n">
        <v>14</v>
      </c>
      <c r="B24" s="9" t="inlineStr">
        <is>
          <t>酉阳县</t>
        </is>
      </c>
      <c r="C24" s="9" t="n">
        <v>1</v>
      </c>
      <c r="D24" s="9" t="n">
        <v>16</v>
      </c>
      <c r="E24" s="9" t="n">
        <v>4</v>
      </c>
      <c r="F24" s="9" t="n">
        <v>12</v>
      </c>
      <c r="G24" s="9" t="n">
        <v>13</v>
      </c>
      <c r="H24" s="9" t="n">
        <v>5</v>
      </c>
      <c r="I24" s="9" t="n">
        <v>12</v>
      </c>
      <c r="J24" s="9" t="n">
        <v>2</v>
      </c>
      <c r="K24" s="9" t="n">
        <v>5</v>
      </c>
      <c r="L24" s="9" t="n">
        <v>8</v>
      </c>
      <c r="M24" s="9" t="n">
        <v>112</v>
      </c>
      <c r="N24" s="9" t="n">
        <v>43</v>
      </c>
      <c r="O24" s="9" t="n">
        <v>30</v>
      </c>
      <c r="P24" s="9" t="n">
        <v>14</v>
      </c>
      <c r="Q24" s="9" t="n">
        <v>1</v>
      </c>
      <c r="R24" s="9" t="n">
        <v>13</v>
      </c>
      <c r="S24" s="9" t="n">
        <v>182</v>
      </c>
      <c r="T24" s="9" t="n">
        <v>81.13</v>
      </c>
    </row>
    <row r="25">
      <c r="A25" s="8" t="n">
        <v>15</v>
      </c>
      <c r="B25" s="8" t="inlineStr">
        <is>
          <t>九龙坡区</t>
        </is>
      </c>
      <c r="C25" s="8" t="n">
        <v>1</v>
      </c>
      <c r="D25" s="8" t="n">
        <v>24</v>
      </c>
      <c r="E25" s="8" t="n">
        <v>6</v>
      </c>
      <c r="F25" s="8" t="n">
        <v>4</v>
      </c>
      <c r="G25" s="8" t="n">
        <v>9</v>
      </c>
      <c r="H25" s="8" t="n">
        <v>4</v>
      </c>
      <c r="I25" s="8" t="n">
        <v>9</v>
      </c>
      <c r="J25" s="8" t="n">
        <v>0</v>
      </c>
      <c r="K25" s="8" t="n">
        <v>3</v>
      </c>
      <c r="L25" s="8" t="n">
        <v>11</v>
      </c>
      <c r="M25" s="8" t="n">
        <v>67</v>
      </c>
      <c r="N25" s="8" t="n">
        <v>12</v>
      </c>
      <c r="O25" s="8" t="n">
        <v>60</v>
      </c>
      <c r="P25" s="8" t="n">
        <v>30</v>
      </c>
      <c r="Q25" s="8" t="n">
        <v>1</v>
      </c>
      <c r="R25" s="8" t="n">
        <v>26</v>
      </c>
      <c r="S25" s="8" t="n">
        <v>180</v>
      </c>
      <c r="T25" s="8" t="n">
        <v>80.81</v>
      </c>
    </row>
    <row r="26">
      <c r="A26" s="9" t="n">
        <v>16</v>
      </c>
      <c r="B26" s="9" t="inlineStr">
        <is>
          <t>垫江县</t>
        </is>
      </c>
      <c r="C26" s="9" t="n">
        <v>2</v>
      </c>
      <c r="D26" s="9" t="n">
        <v>20</v>
      </c>
      <c r="E26" s="9" t="n">
        <v>9</v>
      </c>
      <c r="F26" s="9" t="n">
        <v>1</v>
      </c>
      <c r="G26" s="9" t="n">
        <v>2</v>
      </c>
      <c r="H26" s="9" t="n">
        <v>3</v>
      </c>
      <c r="I26" s="9" t="n">
        <v>12</v>
      </c>
      <c r="J26" s="9" t="n">
        <v>0</v>
      </c>
      <c r="K26" s="9" t="n">
        <v>0</v>
      </c>
      <c r="L26" s="9" t="n">
        <v>4</v>
      </c>
      <c r="M26" s="9" t="n">
        <v>54</v>
      </c>
      <c r="N26" s="9" t="n">
        <v>14</v>
      </c>
      <c r="O26" s="9" t="n">
        <v>66</v>
      </c>
      <c r="P26" s="9" t="n">
        <v>25</v>
      </c>
      <c r="Q26" s="9" t="n">
        <v>1</v>
      </c>
      <c r="R26" s="9" t="n">
        <v>25</v>
      </c>
      <c r="S26" s="9" t="n">
        <v>162</v>
      </c>
      <c r="T26" s="9" t="n">
        <v>77.90000000000001</v>
      </c>
    </row>
    <row r="27">
      <c r="A27" s="8" t="n">
        <v>17</v>
      </c>
      <c r="B27" s="8" t="inlineStr">
        <is>
          <t>永川区</t>
        </is>
      </c>
      <c r="C27" s="8" t="n">
        <v>5</v>
      </c>
      <c r="D27" s="8" t="n">
        <v>12</v>
      </c>
      <c r="E27" s="8" t="n">
        <v>7</v>
      </c>
      <c r="F27" s="8" t="n">
        <v>3</v>
      </c>
      <c r="G27" s="8" t="n">
        <v>12</v>
      </c>
      <c r="H27" s="8" t="n">
        <v>4</v>
      </c>
      <c r="I27" s="8" t="n">
        <v>11</v>
      </c>
      <c r="J27" s="8" t="n">
        <v>0</v>
      </c>
      <c r="K27" s="8" t="n">
        <v>1</v>
      </c>
      <c r="L27" s="8" t="n">
        <v>4</v>
      </c>
      <c r="M27" s="8" t="n">
        <v>28</v>
      </c>
      <c r="N27" s="8" t="n">
        <v>10</v>
      </c>
      <c r="O27" s="8" t="n">
        <v>25</v>
      </c>
      <c r="P27" s="8" t="n">
        <v>32</v>
      </c>
      <c r="Q27" s="8" t="n">
        <v>1</v>
      </c>
      <c r="R27" s="8" t="n">
        <v>35</v>
      </c>
      <c r="S27" s="8" t="n">
        <v>157</v>
      </c>
      <c r="T27" s="8" t="n">
        <v>77.09999999999999</v>
      </c>
    </row>
    <row r="28">
      <c r="A28" s="9" t="n">
        <v>18</v>
      </c>
      <c r="B28" s="9" t="inlineStr">
        <is>
          <t>南岸区</t>
        </is>
      </c>
      <c r="C28" s="9" t="n">
        <v>2</v>
      </c>
      <c r="D28" s="9" t="n">
        <v>15</v>
      </c>
      <c r="E28" s="9" t="n">
        <v>8</v>
      </c>
      <c r="F28" s="9" t="n">
        <v>15</v>
      </c>
      <c r="G28" s="9" t="n">
        <v>4</v>
      </c>
      <c r="H28" s="9" t="n">
        <v>5</v>
      </c>
      <c r="I28" s="9" t="n">
        <v>11</v>
      </c>
      <c r="J28" s="9" t="n">
        <v>0</v>
      </c>
      <c r="K28" s="9" t="n">
        <v>2</v>
      </c>
      <c r="L28" s="9" t="n">
        <v>4</v>
      </c>
      <c r="M28" s="9" t="n">
        <v>53</v>
      </c>
      <c r="N28" s="9" t="n">
        <v>19</v>
      </c>
      <c r="O28" s="9" t="n">
        <v>48</v>
      </c>
      <c r="P28" s="9" t="n">
        <v>24</v>
      </c>
      <c r="Q28" s="9" t="n">
        <v>1</v>
      </c>
      <c r="R28" s="9" t="n">
        <v>33</v>
      </c>
      <c r="S28" s="9" t="n">
        <v>154</v>
      </c>
      <c r="T28" s="9" t="n">
        <v>76.61</v>
      </c>
    </row>
    <row r="29">
      <c r="A29" s="8" t="n">
        <v>19</v>
      </c>
      <c r="B29" s="8" t="inlineStr">
        <is>
          <t>长寿区</t>
        </is>
      </c>
      <c r="C29" s="8" t="n">
        <v>2</v>
      </c>
      <c r="D29" s="8" t="n">
        <v>12</v>
      </c>
      <c r="E29" s="8" t="n">
        <v>17</v>
      </c>
      <c r="F29" s="8" t="n">
        <v>4</v>
      </c>
      <c r="G29" s="8" t="n">
        <v>7</v>
      </c>
      <c r="H29" s="8" t="n">
        <v>2</v>
      </c>
      <c r="I29" s="8" t="n">
        <v>13</v>
      </c>
      <c r="J29" s="8" t="n">
        <v>0</v>
      </c>
      <c r="K29" s="8" t="n">
        <v>3</v>
      </c>
      <c r="L29" s="8" t="n">
        <v>4</v>
      </c>
      <c r="M29" s="8" t="n">
        <v>33</v>
      </c>
      <c r="N29" s="8" t="n">
        <v>17</v>
      </c>
      <c r="O29" s="8" t="n">
        <v>66</v>
      </c>
      <c r="P29" s="8" t="n">
        <v>31</v>
      </c>
      <c r="Q29" s="8" t="n">
        <v>1</v>
      </c>
      <c r="R29" s="8" t="n">
        <v>34</v>
      </c>
      <c r="S29" s="8" t="n">
        <v>154</v>
      </c>
      <c r="T29" s="8" t="n">
        <v>76.61</v>
      </c>
    </row>
    <row r="30">
      <c r="A30" s="9" t="n">
        <v>20</v>
      </c>
      <c r="B30" s="9" t="inlineStr">
        <is>
          <t>云阳县</t>
        </is>
      </c>
      <c r="C30" s="9" t="n">
        <v>2</v>
      </c>
      <c r="D30" s="9" t="n">
        <v>20</v>
      </c>
      <c r="E30" s="9" t="n">
        <v>1</v>
      </c>
      <c r="F30" s="9" t="n">
        <v>7</v>
      </c>
      <c r="G30" s="9" t="n">
        <v>4</v>
      </c>
      <c r="H30" s="9" t="n">
        <v>10</v>
      </c>
      <c r="I30" s="9" t="n">
        <v>9</v>
      </c>
      <c r="J30" s="9" t="n">
        <v>8</v>
      </c>
      <c r="K30" s="9" t="n">
        <v>2</v>
      </c>
      <c r="L30" s="9" t="n">
        <v>13</v>
      </c>
      <c r="M30" s="9" t="n">
        <v>69</v>
      </c>
      <c r="N30" s="9" t="n">
        <v>35</v>
      </c>
      <c r="O30" s="9" t="n">
        <v>49</v>
      </c>
      <c r="P30" s="9" t="n">
        <v>20</v>
      </c>
      <c r="Q30" s="9" t="n">
        <v>2</v>
      </c>
      <c r="R30" s="9" t="n">
        <v>27</v>
      </c>
      <c r="S30" s="9" t="n">
        <v>149</v>
      </c>
      <c r="T30" s="9" t="n">
        <v>75.81</v>
      </c>
    </row>
    <row r="31">
      <c r="A31" s="8" t="n">
        <v>21</v>
      </c>
      <c r="B31" s="8" t="inlineStr">
        <is>
          <t>南川区</t>
        </is>
      </c>
      <c r="C31" s="8" t="n">
        <v>1</v>
      </c>
      <c r="D31" s="8" t="n">
        <v>16</v>
      </c>
      <c r="E31" s="8" t="n">
        <v>1</v>
      </c>
      <c r="F31" s="8" t="n">
        <v>2</v>
      </c>
      <c r="G31" s="8" t="n">
        <v>16</v>
      </c>
      <c r="H31" s="8" t="n">
        <v>1</v>
      </c>
      <c r="I31" s="8" t="n">
        <v>9</v>
      </c>
      <c r="J31" s="8" t="n">
        <v>0</v>
      </c>
      <c r="K31" s="8" t="n">
        <v>2</v>
      </c>
      <c r="L31" s="8" t="n">
        <v>9</v>
      </c>
      <c r="M31" s="8" t="n">
        <v>50</v>
      </c>
      <c r="N31" s="8" t="n">
        <v>30</v>
      </c>
      <c r="O31" s="8" t="n">
        <v>26</v>
      </c>
      <c r="P31" s="8" t="n">
        <v>29</v>
      </c>
      <c r="Q31" s="8" t="n">
        <v>0</v>
      </c>
      <c r="R31" s="8" t="n">
        <v>11</v>
      </c>
      <c r="S31" s="8" t="n">
        <v>143</v>
      </c>
      <c r="T31" s="8" t="n">
        <v>74.84</v>
      </c>
    </row>
    <row r="32">
      <c r="A32" s="9" t="n">
        <v>22</v>
      </c>
      <c r="B32" s="9" t="inlineStr">
        <is>
          <t>忠县</t>
        </is>
      </c>
      <c r="C32" s="9" t="n">
        <v>0</v>
      </c>
      <c r="D32" s="9" t="n">
        <v>22</v>
      </c>
      <c r="E32" s="9" t="n">
        <v>2</v>
      </c>
      <c r="F32" s="9" t="n">
        <v>12</v>
      </c>
      <c r="G32" s="9" t="n">
        <v>2</v>
      </c>
      <c r="H32" s="9" t="n">
        <v>4</v>
      </c>
      <c r="I32" s="9" t="n">
        <v>9</v>
      </c>
      <c r="J32" s="9" t="n">
        <v>0</v>
      </c>
      <c r="K32" s="9" t="n">
        <v>2</v>
      </c>
      <c r="L32" s="9" t="n">
        <v>5</v>
      </c>
      <c r="M32" s="9" t="n">
        <v>61</v>
      </c>
      <c r="N32" s="9" t="n">
        <v>24</v>
      </c>
      <c r="O32" s="9" t="n">
        <v>39</v>
      </c>
      <c r="P32" s="9" t="n">
        <v>32</v>
      </c>
      <c r="Q32" s="9" t="n">
        <v>1</v>
      </c>
      <c r="R32" s="9" t="n">
        <v>35</v>
      </c>
      <c r="S32" s="9" t="n">
        <v>143</v>
      </c>
      <c r="T32" s="9" t="n">
        <v>74.84</v>
      </c>
    </row>
    <row r="33">
      <c r="A33" s="8" t="n">
        <v>23</v>
      </c>
      <c r="B33" s="8" t="inlineStr">
        <is>
          <t>大足区</t>
        </is>
      </c>
      <c r="C33" s="8" t="n">
        <v>2</v>
      </c>
      <c r="D33" s="8" t="n">
        <v>18</v>
      </c>
      <c r="E33" s="8" t="n">
        <v>0</v>
      </c>
      <c r="F33" s="8" t="n">
        <v>8</v>
      </c>
      <c r="G33" s="8" t="n">
        <v>8</v>
      </c>
      <c r="H33" s="8" t="n">
        <v>2</v>
      </c>
      <c r="I33" s="8" t="n">
        <v>4</v>
      </c>
      <c r="J33" s="8" t="n">
        <v>0</v>
      </c>
      <c r="K33" s="8" t="n">
        <v>2</v>
      </c>
      <c r="L33" s="8" t="n">
        <v>2</v>
      </c>
      <c r="M33" s="8" t="n">
        <v>49</v>
      </c>
      <c r="N33" s="8" t="n">
        <v>10</v>
      </c>
      <c r="O33" s="8" t="n">
        <v>25</v>
      </c>
      <c r="P33" s="8" t="n">
        <v>25</v>
      </c>
      <c r="Q33" s="8" t="n">
        <v>6</v>
      </c>
      <c r="R33" s="8" t="n">
        <v>15</v>
      </c>
      <c r="S33" s="8" t="n">
        <v>132</v>
      </c>
      <c r="T33" s="8" t="n">
        <v>73.06</v>
      </c>
    </row>
    <row r="34">
      <c r="A34" s="9" t="n">
        <v>24</v>
      </c>
      <c r="B34" s="9" t="inlineStr">
        <is>
          <t>合川区</t>
        </is>
      </c>
      <c r="C34" s="9" t="n">
        <v>6</v>
      </c>
      <c r="D34" s="9" t="n">
        <v>9</v>
      </c>
      <c r="E34" s="9" t="n">
        <v>3</v>
      </c>
      <c r="F34" s="9" t="n">
        <v>6</v>
      </c>
      <c r="G34" s="9" t="n">
        <v>2</v>
      </c>
      <c r="H34" s="9" t="n">
        <v>5</v>
      </c>
      <c r="I34" s="9" t="n">
        <v>14</v>
      </c>
      <c r="J34" s="9" t="n">
        <v>0</v>
      </c>
      <c r="K34" s="9" t="n">
        <v>0</v>
      </c>
      <c r="L34" s="9" t="n">
        <v>0</v>
      </c>
      <c r="M34" s="9" t="n">
        <v>31</v>
      </c>
      <c r="N34" s="9" t="n">
        <v>20</v>
      </c>
      <c r="O34" s="9" t="n">
        <v>33</v>
      </c>
      <c r="P34" s="9" t="n">
        <v>25</v>
      </c>
      <c r="Q34" s="9" t="n">
        <v>3</v>
      </c>
      <c r="R34" s="9" t="n">
        <v>22</v>
      </c>
      <c r="S34" s="9" t="n">
        <v>130</v>
      </c>
      <c r="T34" s="9" t="n">
        <v>72.73999999999999</v>
      </c>
    </row>
    <row r="35">
      <c r="A35" s="8" t="n">
        <v>25</v>
      </c>
      <c r="B35" s="8" t="inlineStr">
        <is>
          <t>大渡口区</t>
        </is>
      </c>
      <c r="C35" s="8" t="n">
        <v>2</v>
      </c>
      <c r="D35" s="8" t="n">
        <v>21</v>
      </c>
      <c r="E35" s="8" t="n">
        <v>7</v>
      </c>
      <c r="F35" s="8" t="n">
        <v>4</v>
      </c>
      <c r="G35" s="8" t="n">
        <v>3</v>
      </c>
      <c r="H35" s="8" t="n">
        <v>5</v>
      </c>
      <c r="I35" s="8" t="n">
        <v>12</v>
      </c>
      <c r="J35" s="8" t="n">
        <v>0</v>
      </c>
      <c r="K35" s="8" t="n">
        <v>2</v>
      </c>
      <c r="L35" s="8" t="n">
        <v>9</v>
      </c>
      <c r="M35" s="8" t="n">
        <v>58</v>
      </c>
      <c r="N35" s="8" t="n">
        <v>15</v>
      </c>
      <c r="O35" s="8" t="n">
        <v>44</v>
      </c>
      <c r="P35" s="8" t="n">
        <v>22</v>
      </c>
      <c r="Q35" s="8" t="n">
        <v>3</v>
      </c>
      <c r="R35" s="8" t="n">
        <v>21</v>
      </c>
      <c r="S35" s="8" t="n">
        <v>130</v>
      </c>
      <c r="T35" s="8" t="n">
        <v>72.73999999999999</v>
      </c>
    </row>
    <row r="36">
      <c r="A36" s="9" t="n">
        <v>26</v>
      </c>
      <c r="B36" s="9" t="inlineStr">
        <is>
          <t>沙坪坝区</t>
        </is>
      </c>
      <c r="C36" s="9" t="n">
        <v>1</v>
      </c>
      <c r="D36" s="9" t="n">
        <v>14</v>
      </c>
      <c r="E36" s="9" t="n">
        <v>4</v>
      </c>
      <c r="F36" s="9" t="n">
        <v>8</v>
      </c>
      <c r="G36" s="9" t="n">
        <v>10</v>
      </c>
      <c r="H36" s="9" t="n">
        <v>2</v>
      </c>
      <c r="I36" s="9" t="n">
        <v>4</v>
      </c>
      <c r="J36" s="9" t="n">
        <v>0</v>
      </c>
      <c r="K36" s="9" t="n">
        <v>0</v>
      </c>
      <c r="L36" s="9" t="n">
        <v>14</v>
      </c>
      <c r="M36" s="9" t="n">
        <v>42</v>
      </c>
      <c r="N36" s="9" t="n">
        <v>10</v>
      </c>
      <c r="O36" s="9" t="n">
        <v>37</v>
      </c>
      <c r="P36" s="9" t="n">
        <v>20</v>
      </c>
      <c r="Q36" s="9" t="n">
        <v>0</v>
      </c>
      <c r="R36" s="9" t="n">
        <v>13</v>
      </c>
      <c r="S36" s="9" t="n">
        <v>129</v>
      </c>
      <c r="T36" s="9" t="n">
        <v>72.58</v>
      </c>
    </row>
    <row r="37">
      <c r="A37" s="8" t="n">
        <v>27</v>
      </c>
      <c r="B37" s="8" t="inlineStr">
        <is>
          <t>万州区</t>
        </is>
      </c>
      <c r="C37" s="8" t="n">
        <v>5</v>
      </c>
      <c r="D37" s="8" t="n">
        <v>11</v>
      </c>
      <c r="E37" s="8" t="n">
        <v>3</v>
      </c>
      <c r="F37" s="8" t="n">
        <v>5</v>
      </c>
      <c r="G37" s="8" t="n">
        <v>3</v>
      </c>
      <c r="H37" s="8" t="n">
        <v>0</v>
      </c>
      <c r="I37" s="8" t="n">
        <v>4</v>
      </c>
      <c r="J37" s="8" t="n">
        <v>0</v>
      </c>
      <c r="K37" s="8" t="n">
        <v>1</v>
      </c>
      <c r="L37" s="8" t="n">
        <v>17</v>
      </c>
      <c r="M37" s="8" t="n">
        <v>39</v>
      </c>
      <c r="N37" s="8" t="n">
        <v>5</v>
      </c>
      <c r="O37" s="8" t="n">
        <v>17</v>
      </c>
      <c r="P37" s="8" t="n">
        <v>13</v>
      </c>
      <c r="Q37" s="8" t="n">
        <v>1</v>
      </c>
      <c r="R37" s="8" t="n">
        <v>48</v>
      </c>
      <c r="S37" s="8" t="n">
        <v>126</v>
      </c>
      <c r="T37" s="8" t="n">
        <v>72.09999999999999</v>
      </c>
    </row>
    <row r="38">
      <c r="A38" s="9" t="n">
        <v>28</v>
      </c>
      <c r="B38" s="9" t="inlineStr">
        <is>
          <t>璧山区</t>
        </is>
      </c>
      <c r="C38" s="9" t="n">
        <v>6</v>
      </c>
      <c r="D38" s="9" t="n">
        <v>23</v>
      </c>
      <c r="E38" s="9" t="n">
        <v>3</v>
      </c>
      <c r="F38" s="9" t="n">
        <v>7</v>
      </c>
      <c r="G38" s="9" t="n">
        <v>4</v>
      </c>
      <c r="H38" s="9" t="n">
        <v>3</v>
      </c>
      <c r="I38" s="9" t="n">
        <v>3</v>
      </c>
      <c r="J38" s="9" t="n">
        <v>0</v>
      </c>
      <c r="K38" s="9" t="n">
        <v>0</v>
      </c>
      <c r="L38" s="9" t="n">
        <v>2</v>
      </c>
      <c r="M38" s="9" t="n">
        <v>33</v>
      </c>
      <c r="N38" s="9" t="n">
        <v>24</v>
      </c>
      <c r="O38" s="9" t="n">
        <v>24</v>
      </c>
      <c r="P38" s="9" t="n">
        <v>18</v>
      </c>
      <c r="Q38" s="9" t="n">
        <v>3</v>
      </c>
      <c r="R38" s="9" t="n">
        <v>15</v>
      </c>
      <c r="S38" s="9" t="n">
        <v>126</v>
      </c>
      <c r="T38" s="9" t="n">
        <v>72.09999999999999</v>
      </c>
    </row>
    <row r="39">
      <c r="A39" s="8" t="n">
        <v>29</v>
      </c>
      <c r="B39" s="8" t="inlineStr">
        <is>
          <t>綦江区</t>
        </is>
      </c>
      <c r="C39" s="8" t="n">
        <v>5</v>
      </c>
      <c r="D39" s="8" t="n">
        <v>12</v>
      </c>
      <c r="E39" s="8" t="n">
        <v>4</v>
      </c>
      <c r="F39" s="8" t="n">
        <v>6</v>
      </c>
      <c r="G39" s="8" t="n">
        <v>5</v>
      </c>
      <c r="H39" s="8" t="n">
        <v>10</v>
      </c>
      <c r="I39" s="8" t="n">
        <v>9</v>
      </c>
      <c r="J39" s="8" t="n">
        <v>1</v>
      </c>
      <c r="K39" s="8" t="n">
        <v>1</v>
      </c>
      <c r="L39" s="8" t="n">
        <v>0</v>
      </c>
      <c r="M39" s="8" t="n">
        <v>52</v>
      </c>
      <c r="N39" s="8" t="n">
        <v>19</v>
      </c>
      <c r="O39" s="8" t="n">
        <v>32</v>
      </c>
      <c r="P39" s="8" t="n">
        <v>19</v>
      </c>
      <c r="Q39" s="8" t="n">
        <v>3</v>
      </c>
      <c r="R39" s="8" t="n">
        <v>11</v>
      </c>
      <c r="S39" s="8" t="n">
        <v>125</v>
      </c>
      <c r="T39" s="8" t="n">
        <v>71.94</v>
      </c>
    </row>
    <row r="40">
      <c r="A40" s="9" t="n">
        <v>30</v>
      </c>
      <c r="B40" s="9" t="inlineStr">
        <is>
          <t>巴南区</t>
        </is>
      </c>
      <c r="C40" s="9" t="n">
        <v>0</v>
      </c>
      <c r="D40" s="9" t="n">
        <v>16</v>
      </c>
      <c r="E40" s="9" t="n">
        <v>2</v>
      </c>
      <c r="F40" s="9" t="n">
        <v>2</v>
      </c>
      <c r="G40" s="9" t="n">
        <v>7</v>
      </c>
      <c r="H40" s="9" t="n">
        <v>7</v>
      </c>
      <c r="I40" s="9" t="n">
        <v>5</v>
      </c>
      <c r="J40" s="9" t="n">
        <v>0</v>
      </c>
      <c r="K40" s="9" t="n">
        <v>1</v>
      </c>
      <c r="L40" s="9" t="n">
        <v>1</v>
      </c>
      <c r="M40" s="9" t="n">
        <v>38</v>
      </c>
      <c r="N40" s="9" t="n">
        <v>6</v>
      </c>
      <c r="O40" s="9" t="n">
        <v>23</v>
      </c>
      <c r="P40" s="9" t="n">
        <v>32</v>
      </c>
      <c r="Q40" s="9" t="n">
        <v>2</v>
      </c>
      <c r="R40" s="9" t="n">
        <v>20</v>
      </c>
      <c r="S40" s="9" t="n">
        <v>119</v>
      </c>
      <c r="T40" s="9" t="n">
        <v>70.97</v>
      </c>
    </row>
    <row r="41">
      <c r="A41" s="8" t="n">
        <v>31</v>
      </c>
      <c r="B41" s="8" t="inlineStr">
        <is>
          <t>丰都县</t>
        </is>
      </c>
      <c r="C41" s="8" t="n">
        <v>0</v>
      </c>
      <c r="D41" s="8" t="n">
        <v>7</v>
      </c>
      <c r="E41" s="8" t="n">
        <v>3</v>
      </c>
      <c r="F41" s="8" t="n">
        <v>6</v>
      </c>
      <c r="G41" s="8" t="n">
        <v>5</v>
      </c>
      <c r="H41" s="8" t="n">
        <v>7</v>
      </c>
      <c r="I41" s="8" t="n">
        <v>5</v>
      </c>
      <c r="J41" s="8" t="n">
        <v>1</v>
      </c>
      <c r="K41" s="8" t="n">
        <v>2</v>
      </c>
      <c r="L41" s="8" t="n">
        <v>6</v>
      </c>
      <c r="M41" s="8" t="n">
        <v>29</v>
      </c>
      <c r="N41" s="8" t="n">
        <v>13</v>
      </c>
      <c r="O41" s="8" t="n">
        <v>18</v>
      </c>
      <c r="P41" s="8" t="n">
        <v>18</v>
      </c>
      <c r="Q41" s="8" t="n">
        <v>1</v>
      </c>
      <c r="R41" s="8" t="n">
        <v>32</v>
      </c>
      <c r="S41" s="8" t="n">
        <v>117</v>
      </c>
      <c r="T41" s="8" t="n">
        <v>70.65000000000001</v>
      </c>
    </row>
    <row r="42">
      <c r="A42" s="9" t="n">
        <v>32</v>
      </c>
      <c r="B42" s="9" t="inlineStr">
        <is>
          <t>铜梁区</t>
        </is>
      </c>
      <c r="C42" s="9" t="n">
        <v>5</v>
      </c>
      <c r="D42" s="9" t="n">
        <v>5</v>
      </c>
      <c r="E42" s="9" t="n">
        <v>6</v>
      </c>
      <c r="F42" s="9" t="n">
        <v>4</v>
      </c>
      <c r="G42" s="9" t="n">
        <v>5</v>
      </c>
      <c r="H42" s="9" t="n">
        <v>2</v>
      </c>
      <c r="I42" s="9" t="n">
        <v>11</v>
      </c>
      <c r="J42" s="9" t="n">
        <v>2</v>
      </c>
      <c r="K42" s="9" t="n">
        <v>0</v>
      </c>
      <c r="L42" s="9" t="n">
        <v>4</v>
      </c>
      <c r="M42" s="9" t="n">
        <v>20</v>
      </c>
      <c r="N42" s="9" t="n">
        <v>15</v>
      </c>
      <c r="O42" s="9" t="n">
        <v>26</v>
      </c>
      <c r="P42" s="9" t="n">
        <v>23</v>
      </c>
      <c r="Q42" s="9" t="n">
        <v>1</v>
      </c>
      <c r="R42" s="9" t="n">
        <v>18</v>
      </c>
      <c r="S42" s="9" t="n">
        <v>106</v>
      </c>
      <c r="T42" s="9" t="n">
        <v>68.87</v>
      </c>
    </row>
    <row r="43">
      <c r="A43" s="8" t="n">
        <v>33</v>
      </c>
      <c r="B43" s="8" t="inlineStr">
        <is>
          <t>开州区</t>
        </is>
      </c>
      <c r="C43" s="8" t="n">
        <v>0</v>
      </c>
      <c r="D43" s="8" t="n">
        <v>9</v>
      </c>
      <c r="E43" s="8" t="n">
        <v>5</v>
      </c>
      <c r="F43" s="8" t="n">
        <v>6</v>
      </c>
      <c r="G43" s="8" t="n">
        <v>2</v>
      </c>
      <c r="H43" s="8" t="n">
        <v>9</v>
      </c>
      <c r="I43" s="8" t="n">
        <v>5</v>
      </c>
      <c r="J43" s="8" t="n">
        <v>0</v>
      </c>
      <c r="K43" s="8" t="n">
        <v>1</v>
      </c>
      <c r="L43" s="8" t="n">
        <v>6</v>
      </c>
      <c r="M43" s="8" t="n">
        <v>33</v>
      </c>
      <c r="N43" s="8" t="n">
        <v>10</v>
      </c>
      <c r="O43" s="8" t="n">
        <v>18</v>
      </c>
      <c r="P43" s="8" t="n">
        <v>29</v>
      </c>
      <c r="Q43" s="8" t="n">
        <v>0</v>
      </c>
      <c r="R43" s="8" t="n">
        <v>18</v>
      </c>
      <c r="S43" s="8" t="n">
        <v>102</v>
      </c>
      <c r="T43" s="8" t="n">
        <v>68.23</v>
      </c>
    </row>
    <row r="44">
      <c r="A44" s="9" t="n">
        <v>34</v>
      </c>
      <c r="B44" s="9" t="inlineStr">
        <is>
          <t>科学城重庆高新区</t>
        </is>
      </c>
      <c r="C44" s="9" t="n">
        <v>6</v>
      </c>
      <c r="D44" s="9" t="n">
        <v>3</v>
      </c>
      <c r="E44" s="9" t="n">
        <v>7</v>
      </c>
      <c r="F44" s="9" t="n">
        <v>2</v>
      </c>
      <c r="G44" s="9" t="n">
        <v>0</v>
      </c>
      <c r="H44" s="9" t="n">
        <v>2</v>
      </c>
      <c r="I44" s="9" t="n">
        <v>2</v>
      </c>
      <c r="J44" s="9" t="n">
        <v>0</v>
      </c>
      <c r="K44" s="9" t="n">
        <v>1</v>
      </c>
      <c r="L44" s="9" t="n">
        <v>0</v>
      </c>
      <c r="M44" s="9" t="n">
        <v>26</v>
      </c>
      <c r="N44" s="9" t="n">
        <v>5</v>
      </c>
      <c r="O44" s="9" t="n">
        <v>26</v>
      </c>
      <c r="P44" s="9" t="n">
        <v>52</v>
      </c>
      <c r="Q44" s="9" t="n">
        <v>0</v>
      </c>
      <c r="R44" s="9" t="n">
        <v>7</v>
      </c>
      <c r="S44" s="9" t="n">
        <v>96</v>
      </c>
      <c r="T44" s="9" t="n">
        <v>67.26000000000001</v>
      </c>
    </row>
    <row r="45">
      <c r="A45" s="8" t="n">
        <v>35</v>
      </c>
      <c r="B45" s="8" t="inlineStr">
        <is>
          <t>秀山县</t>
        </is>
      </c>
      <c r="C45" s="8" t="n">
        <v>0</v>
      </c>
      <c r="D45" s="8" t="n">
        <v>4</v>
      </c>
      <c r="E45" s="8" t="n">
        <v>0</v>
      </c>
      <c r="F45" s="8" t="n">
        <v>6</v>
      </c>
      <c r="G45" s="8" t="n">
        <v>4</v>
      </c>
      <c r="H45" s="8" t="n">
        <v>2</v>
      </c>
      <c r="I45" s="8" t="n">
        <v>3</v>
      </c>
      <c r="J45" s="8" t="n">
        <v>0</v>
      </c>
      <c r="K45" s="8" t="n">
        <v>0</v>
      </c>
      <c r="L45" s="8" t="n">
        <v>2</v>
      </c>
      <c r="M45" s="8" t="n">
        <v>40</v>
      </c>
      <c r="N45" s="8" t="n">
        <v>18</v>
      </c>
      <c r="O45" s="8" t="n">
        <v>16</v>
      </c>
      <c r="P45" s="8" t="n">
        <v>24</v>
      </c>
      <c r="Q45" s="8" t="n">
        <v>1</v>
      </c>
      <c r="R45" s="8" t="n">
        <v>3</v>
      </c>
      <c r="S45" s="8" t="n">
        <v>93</v>
      </c>
      <c r="T45" s="8" t="n">
        <v>66.77</v>
      </c>
    </row>
    <row r="46">
      <c r="A46" s="9" t="n">
        <v>36</v>
      </c>
      <c r="B46" s="9" t="inlineStr">
        <is>
          <t>荣昌区</t>
        </is>
      </c>
      <c r="C46" s="9" t="n">
        <v>0</v>
      </c>
      <c r="D46" s="9" t="n">
        <v>4</v>
      </c>
      <c r="E46" s="9" t="n">
        <v>0</v>
      </c>
      <c r="F46" s="9" t="n">
        <v>2</v>
      </c>
      <c r="G46" s="9" t="n">
        <v>5</v>
      </c>
      <c r="H46" s="9" t="n">
        <v>11</v>
      </c>
      <c r="I46" s="9" t="n">
        <v>3</v>
      </c>
      <c r="J46" s="9" t="n">
        <v>0</v>
      </c>
      <c r="K46" s="9" t="n">
        <v>0</v>
      </c>
      <c r="L46" s="9" t="n">
        <v>0</v>
      </c>
      <c r="M46" s="9" t="n">
        <v>26</v>
      </c>
      <c r="N46" s="9" t="n">
        <v>10</v>
      </c>
      <c r="O46" s="9" t="n">
        <v>18</v>
      </c>
      <c r="P46" s="9" t="n">
        <v>25</v>
      </c>
      <c r="Q46" s="9" t="n">
        <v>0</v>
      </c>
      <c r="R46" s="9" t="n">
        <v>18</v>
      </c>
      <c r="S46" s="9" t="n">
        <v>93</v>
      </c>
      <c r="T46" s="9" t="n">
        <v>66.77</v>
      </c>
    </row>
    <row r="47">
      <c r="A47" s="8" t="n">
        <v>37</v>
      </c>
      <c r="B47" s="8" t="inlineStr">
        <is>
          <t>梁平区</t>
        </is>
      </c>
      <c r="C47" s="8" t="n">
        <v>2</v>
      </c>
      <c r="D47" s="8" t="n">
        <v>10</v>
      </c>
      <c r="E47" s="8" t="n">
        <v>1</v>
      </c>
      <c r="F47" s="8" t="n">
        <v>3</v>
      </c>
      <c r="G47" s="8" t="n">
        <v>1</v>
      </c>
      <c r="H47" s="8" t="n">
        <v>4</v>
      </c>
      <c r="I47" s="8" t="n">
        <v>7</v>
      </c>
      <c r="J47" s="8" t="n">
        <v>0</v>
      </c>
      <c r="K47" s="8" t="n">
        <v>2</v>
      </c>
      <c r="L47" s="8" t="n">
        <v>8</v>
      </c>
      <c r="M47" s="8" t="n">
        <v>28</v>
      </c>
      <c r="N47" s="8" t="n">
        <v>17</v>
      </c>
      <c r="O47" s="8" t="n">
        <v>20</v>
      </c>
      <c r="P47" s="8" t="n">
        <v>21</v>
      </c>
      <c r="Q47" s="8" t="n">
        <v>1</v>
      </c>
      <c r="R47" s="8" t="n">
        <v>13</v>
      </c>
      <c r="S47" s="8" t="n">
        <v>87</v>
      </c>
      <c r="T47" s="8" t="n">
        <v>65.81</v>
      </c>
    </row>
    <row r="48">
      <c r="A48" s="9" t="n">
        <v>38</v>
      </c>
      <c r="B48" s="9" t="inlineStr">
        <is>
          <t>潼南区</t>
        </is>
      </c>
      <c r="C48" s="9" t="n">
        <v>2</v>
      </c>
      <c r="D48" s="9" t="n">
        <v>7</v>
      </c>
      <c r="E48" s="9" t="n">
        <v>4</v>
      </c>
      <c r="F48" s="9" t="n">
        <v>0</v>
      </c>
      <c r="G48" s="9" t="n">
        <v>2</v>
      </c>
      <c r="H48" s="9" t="n">
        <v>5</v>
      </c>
      <c r="I48" s="9" t="n">
        <v>10</v>
      </c>
      <c r="J48" s="9" t="n">
        <v>4</v>
      </c>
      <c r="K48" s="9" t="n">
        <v>1</v>
      </c>
      <c r="L48" s="9" t="n">
        <v>2</v>
      </c>
      <c r="M48" s="9" t="n">
        <v>31</v>
      </c>
      <c r="N48" s="9" t="n">
        <v>8</v>
      </c>
      <c r="O48" s="9" t="n">
        <v>29</v>
      </c>
      <c r="P48" s="9" t="n">
        <v>23</v>
      </c>
      <c r="Q48" s="9" t="n">
        <v>2</v>
      </c>
      <c r="R48" s="9" t="n">
        <v>4</v>
      </c>
      <c r="S48" s="9" t="n">
        <v>83</v>
      </c>
      <c r="T48" s="9" t="n">
        <v>65.16</v>
      </c>
    </row>
    <row r="49">
      <c r="A49" s="8" t="n">
        <v>39</v>
      </c>
      <c r="B49" s="8" t="inlineStr">
        <is>
          <t>北碚区</t>
        </is>
      </c>
      <c r="C49" s="8" t="n">
        <v>4</v>
      </c>
      <c r="D49" s="8" t="n">
        <v>14</v>
      </c>
      <c r="E49" s="8" t="n">
        <v>1</v>
      </c>
      <c r="F49" s="8" t="n">
        <v>5</v>
      </c>
      <c r="G49" s="8" t="n">
        <v>5</v>
      </c>
      <c r="H49" s="8" t="n">
        <v>5</v>
      </c>
      <c r="I49" s="8" t="n">
        <v>8</v>
      </c>
      <c r="J49" s="8" t="n">
        <v>1</v>
      </c>
      <c r="K49" s="8" t="n">
        <v>3</v>
      </c>
      <c r="L49" s="8" t="n">
        <v>6</v>
      </c>
      <c r="M49" s="8" t="n">
        <v>28</v>
      </c>
      <c r="N49" s="8" t="n">
        <v>22</v>
      </c>
      <c r="O49" s="8" t="n">
        <v>36</v>
      </c>
      <c r="P49" s="8" t="n">
        <v>12</v>
      </c>
      <c r="Q49" s="8" t="n">
        <v>2</v>
      </c>
      <c r="R49" s="8" t="n">
        <v>3</v>
      </c>
      <c r="S49" s="8" t="n">
        <v>82</v>
      </c>
      <c r="T49" s="8" t="n">
        <v>65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8" customWidth="1" min="37" max="37"/>
  </cols>
  <sheetData>
    <row r="1">
      <c r="A1" s="5" t="inlineStr">
        <is>
          <t>衡量指标</t>
        </is>
      </c>
      <c r="B1" s="6" t="inlineStr">
        <is>
          <t>区县媒体-主题丰富度</t>
        </is>
      </c>
    </row>
    <row r="2">
      <c r="A2" s="5" t="inlineStr">
        <is>
          <t>一级权重</t>
        </is>
      </c>
      <c r="B2" s="6" t="inlineStr">
        <is>
          <t>8%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41 融媒 + 41 政务 = 82 家(政务实际无数据)</t>
        </is>
      </c>
    </row>
    <row r="5">
      <c r="A5" s="5" t="inlineStr">
        <is>
          <t>公式</t>
        </is>
      </c>
      <c r="B5" s="6" t="inlineStr">
        <is>
          <t>F = 1 / Σ |p_t − 1/N| ; p_t = 某主题命中数 / 该(区县,tier)总命中 ; N=16</t>
        </is>
      </c>
    </row>
    <row r="6">
      <c r="A6" s="5" t="inlineStr">
        <is>
          <t>中间列说明</t>
        </is>
      </c>
      <c r="B6" s="6" t="inlineStr">
        <is>
          <t>16 主题占比 (%) → |p_t − 1/16| 各项 → Σ → F = 1/Σ → 区间化得分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 F 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低碳经济占比%</t>
        </is>
      </c>
      <c r="D10" s="7" t="inlineStr">
        <is>
          <t>制度建设占比%</t>
        </is>
      </c>
      <c r="E10" s="7" t="inlineStr">
        <is>
          <t>双碳占比%</t>
        </is>
      </c>
      <c r="F10" s="7" t="inlineStr">
        <is>
          <t>和谐共生占比%</t>
        </is>
      </c>
      <c r="G10" s="7" t="inlineStr">
        <is>
          <t>国家公园占比%</t>
        </is>
      </c>
      <c r="H10" s="7" t="inlineStr">
        <is>
          <t>污染防治攻坚战占比%</t>
        </is>
      </c>
      <c r="I10" s="7" t="inlineStr">
        <is>
          <t>清洁能源占比%</t>
        </is>
      </c>
      <c r="J10" s="7" t="inlineStr">
        <is>
          <t>环保督察占比%</t>
        </is>
      </c>
      <c r="K10" s="7" t="inlineStr">
        <is>
          <t>生态红线占比%</t>
        </is>
      </c>
      <c r="L10" s="7" t="inlineStr">
        <is>
          <t>生物多样性占比%</t>
        </is>
      </c>
      <c r="M10" s="7" t="inlineStr">
        <is>
          <t>综合治理占比%</t>
        </is>
      </c>
      <c r="N10" s="7" t="inlineStr">
        <is>
          <t>绿水青山占比%</t>
        </is>
      </c>
      <c r="O10" s="7" t="inlineStr">
        <is>
          <t>绿色发展占比%</t>
        </is>
      </c>
      <c r="P10" s="7" t="inlineStr">
        <is>
          <t>美丽中国占比%</t>
        </is>
      </c>
      <c r="Q10" s="7" t="inlineStr">
        <is>
          <t>资源节约占比%</t>
        </is>
      </c>
      <c r="R10" s="7" t="inlineStr">
        <is>
          <t>长江生态占比%</t>
        </is>
      </c>
      <c r="S10" s="7" t="inlineStr">
        <is>
          <t>|低碳经济-1/16|</t>
        </is>
      </c>
      <c r="T10" s="7" t="inlineStr">
        <is>
          <t>|制度建设-1/16|</t>
        </is>
      </c>
      <c r="U10" s="7" t="inlineStr">
        <is>
          <t>|双碳-1/16|</t>
        </is>
      </c>
      <c r="V10" s="7" t="inlineStr">
        <is>
          <t>|和谐共生-1/16|</t>
        </is>
      </c>
      <c r="W10" s="7" t="inlineStr">
        <is>
          <t>|国家公园-1/16|</t>
        </is>
      </c>
      <c r="X10" s="7" t="inlineStr">
        <is>
          <t>|污染防治攻坚战-1/16|</t>
        </is>
      </c>
      <c r="Y10" s="7" t="inlineStr">
        <is>
          <t>|清洁能源-1/16|</t>
        </is>
      </c>
      <c r="Z10" s="7" t="inlineStr">
        <is>
          <t>|环保督察-1/16|</t>
        </is>
      </c>
      <c r="AA10" s="7" t="inlineStr">
        <is>
          <t>|生态红线-1/16|</t>
        </is>
      </c>
      <c r="AB10" s="7" t="inlineStr">
        <is>
          <t>|生物多样性-1/16|</t>
        </is>
      </c>
      <c r="AC10" s="7" t="inlineStr">
        <is>
          <t>|综合治理-1/16|</t>
        </is>
      </c>
      <c r="AD10" s="7" t="inlineStr">
        <is>
          <t>|绿水青山-1/16|</t>
        </is>
      </c>
      <c r="AE10" s="7" t="inlineStr">
        <is>
          <t>|绿色发展-1/16|</t>
        </is>
      </c>
      <c r="AF10" s="7" t="inlineStr">
        <is>
          <t>|美丽中国-1/16|</t>
        </is>
      </c>
      <c r="AG10" s="7" t="inlineStr">
        <is>
          <t>|资源节约-1/16|</t>
        </is>
      </c>
      <c r="AH10" s="7" t="inlineStr">
        <is>
          <t>|长江生态-1/16|</t>
        </is>
      </c>
      <c r="AI10" s="7" t="inlineStr">
        <is>
          <t>Σ|p-1/16|</t>
        </is>
      </c>
      <c r="AJ10" s="7" t="inlineStr">
        <is>
          <t>F = 1/Σ</t>
        </is>
      </c>
      <c r="AK10" s="7" t="inlineStr">
        <is>
          <t>丰富度得分 (65-95)</t>
        </is>
      </c>
    </row>
    <row r="11">
      <c r="A11" s="8" t="n">
        <v>1</v>
      </c>
      <c r="B11" s="8" t="inlineStr">
        <is>
          <t>涪陵区</t>
        </is>
      </c>
      <c r="C11" s="8" t="n">
        <v>2.7</v>
      </c>
      <c r="D11" s="8" t="n">
        <v>5.41</v>
      </c>
      <c r="E11" s="8" t="n">
        <v>2.4</v>
      </c>
      <c r="F11" s="8" t="n">
        <v>2.7</v>
      </c>
      <c r="G11" s="8" t="n">
        <v>7.81</v>
      </c>
      <c r="H11" s="8" t="n">
        <v>3.9</v>
      </c>
      <c r="I11" s="8" t="n">
        <v>7.51</v>
      </c>
      <c r="J11" s="8" t="n">
        <v>0</v>
      </c>
      <c r="K11" s="8" t="n">
        <v>0</v>
      </c>
      <c r="L11" s="8" t="n">
        <v>1.5</v>
      </c>
      <c r="M11" s="8" t="n">
        <v>13.51</v>
      </c>
      <c r="N11" s="8" t="n">
        <v>5.71</v>
      </c>
      <c r="O11" s="8" t="n">
        <v>20.42</v>
      </c>
      <c r="P11" s="8" t="n">
        <v>7.51</v>
      </c>
      <c r="Q11" s="8" t="n">
        <v>0.3</v>
      </c>
      <c r="R11" s="8" t="n">
        <v>18.62</v>
      </c>
      <c r="S11" s="8" t="n">
        <v>0.0355</v>
      </c>
      <c r="T11" s="8" t="n">
        <v>0.008399999999999999</v>
      </c>
      <c r="U11" s="8" t="n">
        <v>0.0385</v>
      </c>
      <c r="V11" s="8" t="n">
        <v>0.0355</v>
      </c>
      <c r="W11" s="8" t="n">
        <v>0.0156</v>
      </c>
      <c r="X11" s="8" t="n">
        <v>0.0235</v>
      </c>
      <c r="Y11" s="8" t="n">
        <v>0.0126</v>
      </c>
      <c r="Z11" s="8" t="n">
        <v>0.0625</v>
      </c>
      <c r="AA11" s="8" t="n">
        <v>0.0625</v>
      </c>
      <c r="AB11" s="8" t="n">
        <v>0.0475</v>
      </c>
      <c r="AC11" s="8" t="n">
        <v>0.0726</v>
      </c>
      <c r="AD11" s="8" t="n">
        <v>0.0054</v>
      </c>
      <c r="AE11" s="8" t="n">
        <v>0.1417</v>
      </c>
      <c r="AF11" s="8" t="n">
        <v>0.0126</v>
      </c>
      <c r="AG11" s="8" t="n">
        <v>0.0595</v>
      </c>
      <c r="AH11" s="8" t="n">
        <v>0.1237</v>
      </c>
      <c r="AI11" s="8" t="n">
        <v>0.7575</v>
      </c>
      <c r="AJ11" s="8" t="n">
        <v>1.3201</v>
      </c>
      <c r="AK11" s="8" t="n">
        <v>95</v>
      </c>
    </row>
    <row r="12">
      <c r="A12" s="9" t="n">
        <v>2</v>
      </c>
      <c r="B12" s="9" t="inlineStr">
        <is>
          <t>永川区</t>
        </is>
      </c>
      <c r="C12" s="9" t="n">
        <v>2.63</v>
      </c>
      <c r="D12" s="9" t="n">
        <v>6.32</v>
      </c>
      <c r="E12" s="9" t="n">
        <v>3.68</v>
      </c>
      <c r="F12" s="9" t="n">
        <v>1.58</v>
      </c>
      <c r="G12" s="9" t="n">
        <v>6.32</v>
      </c>
      <c r="H12" s="9" t="n">
        <v>2.11</v>
      </c>
      <c r="I12" s="9" t="n">
        <v>5.79</v>
      </c>
      <c r="J12" s="9" t="n">
        <v>0</v>
      </c>
      <c r="K12" s="9" t="n">
        <v>0.53</v>
      </c>
      <c r="L12" s="9" t="n">
        <v>2.11</v>
      </c>
      <c r="M12" s="9" t="n">
        <v>14.74</v>
      </c>
      <c r="N12" s="9" t="n">
        <v>5.26</v>
      </c>
      <c r="O12" s="9" t="n">
        <v>13.16</v>
      </c>
      <c r="P12" s="9" t="n">
        <v>16.84</v>
      </c>
      <c r="Q12" s="9" t="n">
        <v>0.53</v>
      </c>
      <c r="R12" s="9" t="n">
        <v>18.42</v>
      </c>
      <c r="S12" s="9" t="n">
        <v>0.0362</v>
      </c>
      <c r="T12" s="9" t="n">
        <v>0.0007</v>
      </c>
      <c r="U12" s="9" t="n">
        <v>0.0257</v>
      </c>
      <c r="V12" s="9" t="n">
        <v>0.0467</v>
      </c>
      <c r="W12" s="9" t="n">
        <v>0.0007</v>
      </c>
      <c r="X12" s="9" t="n">
        <v>0.0414</v>
      </c>
      <c r="Y12" s="9" t="n">
        <v>0.0046</v>
      </c>
      <c r="Z12" s="9" t="n">
        <v>0.0625</v>
      </c>
      <c r="AA12" s="9" t="n">
        <v>0.0572</v>
      </c>
      <c r="AB12" s="9" t="n">
        <v>0.0414</v>
      </c>
      <c r="AC12" s="9" t="n">
        <v>0.0849</v>
      </c>
      <c r="AD12" s="9" t="n">
        <v>0.009900000000000001</v>
      </c>
      <c r="AE12" s="9" t="n">
        <v>0.06909999999999999</v>
      </c>
      <c r="AF12" s="9" t="n">
        <v>0.1059</v>
      </c>
      <c r="AG12" s="9" t="n">
        <v>0.0572</v>
      </c>
      <c r="AH12" s="9" t="n">
        <v>0.1217</v>
      </c>
      <c r="AI12" s="9" t="n">
        <v>0.7658</v>
      </c>
      <c r="AJ12" s="9" t="n">
        <v>1.3058</v>
      </c>
      <c r="AK12" s="9" t="n">
        <v>94</v>
      </c>
    </row>
    <row r="13">
      <c r="A13" s="8" t="n">
        <v>3</v>
      </c>
      <c r="B13" s="8" t="inlineStr">
        <is>
          <t>江津区</t>
        </is>
      </c>
      <c r="C13" s="8" t="n">
        <v>2.31</v>
      </c>
      <c r="D13" s="8" t="n">
        <v>6.54</v>
      </c>
      <c r="E13" s="8" t="n">
        <v>6.92</v>
      </c>
      <c r="F13" s="8" t="n">
        <v>3.85</v>
      </c>
      <c r="G13" s="8" t="n">
        <v>4.62</v>
      </c>
      <c r="H13" s="8" t="n">
        <v>0.38</v>
      </c>
      <c r="I13" s="8" t="n">
        <v>11.92</v>
      </c>
      <c r="J13" s="8" t="n">
        <v>0</v>
      </c>
      <c r="K13" s="8" t="n">
        <v>0</v>
      </c>
      <c r="L13" s="8" t="n">
        <v>2.69</v>
      </c>
      <c r="M13" s="8" t="n">
        <v>16.15</v>
      </c>
      <c r="N13" s="8" t="n">
        <v>3.46</v>
      </c>
      <c r="O13" s="8" t="n">
        <v>16.15</v>
      </c>
      <c r="P13" s="8" t="n">
        <v>9.23</v>
      </c>
      <c r="Q13" s="8" t="n">
        <v>0.38</v>
      </c>
      <c r="R13" s="8" t="n">
        <v>15.38</v>
      </c>
      <c r="S13" s="8" t="n">
        <v>0.0394</v>
      </c>
      <c r="T13" s="8" t="n">
        <v>0.0029</v>
      </c>
      <c r="U13" s="8" t="n">
        <v>0.0067</v>
      </c>
      <c r="V13" s="8" t="n">
        <v>0.024</v>
      </c>
      <c r="W13" s="8" t="n">
        <v>0.0163</v>
      </c>
      <c r="X13" s="8" t="n">
        <v>0.0587</v>
      </c>
      <c r="Y13" s="8" t="n">
        <v>0.0567</v>
      </c>
      <c r="Z13" s="8" t="n">
        <v>0.0625</v>
      </c>
      <c r="AA13" s="8" t="n">
        <v>0.0625</v>
      </c>
      <c r="AB13" s="8" t="n">
        <v>0.0356</v>
      </c>
      <c r="AC13" s="8" t="n">
        <v>0.099</v>
      </c>
      <c r="AD13" s="8" t="n">
        <v>0.0279</v>
      </c>
      <c r="AE13" s="8" t="n">
        <v>0.099</v>
      </c>
      <c r="AF13" s="8" t="n">
        <v>0.0298</v>
      </c>
      <c r="AG13" s="8" t="n">
        <v>0.0587</v>
      </c>
      <c r="AH13" s="8" t="n">
        <v>0.09130000000000001</v>
      </c>
      <c r="AI13" s="8" t="n">
        <v>0.7712</v>
      </c>
      <c r="AJ13" s="8" t="n">
        <v>1.2968</v>
      </c>
      <c r="AK13" s="8" t="n">
        <v>93.36</v>
      </c>
    </row>
    <row r="14">
      <c r="A14" s="9" t="n">
        <v>4</v>
      </c>
      <c r="B14" s="9" t="inlineStr">
        <is>
          <t>铜梁区</t>
        </is>
      </c>
      <c r="C14" s="9" t="n">
        <v>3.4</v>
      </c>
      <c r="D14" s="9" t="n">
        <v>3.4</v>
      </c>
      <c r="E14" s="9" t="n">
        <v>4.08</v>
      </c>
      <c r="F14" s="9" t="n">
        <v>2.72</v>
      </c>
      <c r="G14" s="9" t="n">
        <v>3.4</v>
      </c>
      <c r="H14" s="9" t="n">
        <v>1.36</v>
      </c>
      <c r="I14" s="9" t="n">
        <v>7.48</v>
      </c>
      <c r="J14" s="9" t="n">
        <v>1.36</v>
      </c>
      <c r="K14" s="9" t="n">
        <v>0</v>
      </c>
      <c r="L14" s="9" t="n">
        <v>2.72</v>
      </c>
      <c r="M14" s="9" t="n">
        <v>13.61</v>
      </c>
      <c r="N14" s="9" t="n">
        <v>10.2</v>
      </c>
      <c r="O14" s="9" t="n">
        <v>17.69</v>
      </c>
      <c r="P14" s="9" t="n">
        <v>15.65</v>
      </c>
      <c r="Q14" s="9" t="n">
        <v>0.68</v>
      </c>
      <c r="R14" s="9" t="n">
        <v>12.24</v>
      </c>
      <c r="S14" s="9" t="n">
        <v>0.0285</v>
      </c>
      <c r="T14" s="9" t="n">
        <v>0.0285</v>
      </c>
      <c r="U14" s="9" t="n">
        <v>0.0217</v>
      </c>
      <c r="V14" s="9" t="n">
        <v>0.0353</v>
      </c>
      <c r="W14" s="9" t="n">
        <v>0.0285</v>
      </c>
      <c r="X14" s="9" t="n">
        <v>0.0489</v>
      </c>
      <c r="Y14" s="9" t="n">
        <v>0.0123</v>
      </c>
      <c r="Z14" s="9" t="n">
        <v>0.0489</v>
      </c>
      <c r="AA14" s="9" t="n">
        <v>0.0625</v>
      </c>
      <c r="AB14" s="9" t="n">
        <v>0.0353</v>
      </c>
      <c r="AC14" s="9" t="n">
        <v>0.0736</v>
      </c>
      <c r="AD14" s="9" t="n">
        <v>0.0395</v>
      </c>
      <c r="AE14" s="9" t="n">
        <v>0.1144</v>
      </c>
      <c r="AF14" s="9" t="n">
        <v>0.094</v>
      </c>
      <c r="AG14" s="9" t="n">
        <v>0.0557</v>
      </c>
      <c r="AH14" s="9" t="n">
        <v>0.0599</v>
      </c>
      <c r="AI14" s="9" t="n">
        <v>0.7874</v>
      </c>
      <c r="AJ14" s="9" t="n">
        <v>1.27</v>
      </c>
      <c r="AK14" s="9" t="n">
        <v>91.48999999999999</v>
      </c>
    </row>
    <row r="15">
      <c r="A15" s="8" t="n">
        <v>5</v>
      </c>
      <c r="B15" s="8" t="inlineStr">
        <is>
          <t>綦江区</t>
        </is>
      </c>
      <c r="C15" s="8" t="n">
        <v>2.65</v>
      </c>
      <c r="D15" s="8" t="n">
        <v>6.35</v>
      </c>
      <c r="E15" s="8" t="n">
        <v>2.12</v>
      </c>
      <c r="F15" s="8" t="n">
        <v>3.17</v>
      </c>
      <c r="G15" s="8" t="n">
        <v>2.65</v>
      </c>
      <c r="H15" s="8" t="n">
        <v>5.29</v>
      </c>
      <c r="I15" s="8" t="n">
        <v>4.76</v>
      </c>
      <c r="J15" s="8" t="n">
        <v>0.53</v>
      </c>
      <c r="K15" s="8" t="n">
        <v>0.53</v>
      </c>
      <c r="L15" s="8" t="n">
        <v>0</v>
      </c>
      <c r="M15" s="8" t="n">
        <v>27.51</v>
      </c>
      <c r="N15" s="8" t="n">
        <v>10.05</v>
      </c>
      <c r="O15" s="8" t="n">
        <v>16.93</v>
      </c>
      <c r="P15" s="8" t="n">
        <v>10.05</v>
      </c>
      <c r="Q15" s="8" t="n">
        <v>1.59</v>
      </c>
      <c r="R15" s="8" t="n">
        <v>5.82</v>
      </c>
      <c r="S15" s="8" t="n">
        <v>0.036</v>
      </c>
      <c r="T15" s="8" t="n">
        <v>0.001</v>
      </c>
      <c r="U15" s="8" t="n">
        <v>0.0413</v>
      </c>
      <c r="V15" s="8" t="n">
        <v>0.0308</v>
      </c>
      <c r="W15" s="8" t="n">
        <v>0.036</v>
      </c>
      <c r="X15" s="8" t="n">
        <v>0.009599999999999999</v>
      </c>
      <c r="Y15" s="8" t="n">
        <v>0.0149</v>
      </c>
      <c r="Z15" s="8" t="n">
        <v>0.0572</v>
      </c>
      <c r="AA15" s="8" t="n">
        <v>0.0572</v>
      </c>
      <c r="AB15" s="8" t="n">
        <v>0.0625</v>
      </c>
      <c r="AC15" s="8" t="n">
        <v>0.2126</v>
      </c>
      <c r="AD15" s="8" t="n">
        <v>0.038</v>
      </c>
      <c r="AE15" s="8" t="n">
        <v>0.1068</v>
      </c>
      <c r="AF15" s="8" t="n">
        <v>0.038</v>
      </c>
      <c r="AG15" s="8" t="n">
        <v>0.0466</v>
      </c>
      <c r="AH15" s="8" t="n">
        <v>0.0043</v>
      </c>
      <c r="AI15" s="8" t="n">
        <v>0.793</v>
      </c>
      <c r="AJ15" s="8" t="n">
        <v>1.2611</v>
      </c>
      <c r="AK15" s="8" t="n">
        <v>90.86</v>
      </c>
    </row>
    <row r="16">
      <c r="A16" s="9" t="n">
        <v>6</v>
      </c>
      <c r="B16" s="9" t="inlineStr">
        <is>
          <t>两江新区</t>
        </is>
      </c>
      <c r="C16" s="9" t="n">
        <v>0.74</v>
      </c>
      <c r="D16" s="9" t="n">
        <v>5.88</v>
      </c>
      <c r="E16" s="9" t="n">
        <v>5.88</v>
      </c>
      <c r="F16" s="9" t="n">
        <v>1.47</v>
      </c>
      <c r="G16" s="9" t="n">
        <v>3.68</v>
      </c>
      <c r="H16" s="9" t="n">
        <v>1.47</v>
      </c>
      <c r="I16" s="9" t="n">
        <v>9.56</v>
      </c>
      <c r="J16" s="9" t="n">
        <v>0</v>
      </c>
      <c r="K16" s="9" t="n">
        <v>0.74</v>
      </c>
      <c r="L16" s="9" t="n">
        <v>2.94</v>
      </c>
      <c r="M16" s="9" t="n">
        <v>20.22</v>
      </c>
      <c r="N16" s="9" t="n">
        <v>4.41</v>
      </c>
      <c r="O16" s="9" t="n">
        <v>23.53</v>
      </c>
      <c r="P16" s="9" t="n">
        <v>9.19</v>
      </c>
      <c r="Q16" s="9" t="n">
        <v>1.47</v>
      </c>
      <c r="R16" s="9" t="n">
        <v>8.82</v>
      </c>
      <c r="S16" s="9" t="n">
        <v>0.0551</v>
      </c>
      <c r="T16" s="9" t="n">
        <v>0.0037</v>
      </c>
      <c r="U16" s="9" t="n">
        <v>0.0037</v>
      </c>
      <c r="V16" s="9" t="n">
        <v>0.0478</v>
      </c>
      <c r="W16" s="9" t="n">
        <v>0.0257</v>
      </c>
      <c r="X16" s="9" t="n">
        <v>0.0478</v>
      </c>
      <c r="Y16" s="9" t="n">
        <v>0.0331</v>
      </c>
      <c r="Z16" s="9" t="n">
        <v>0.0625</v>
      </c>
      <c r="AA16" s="9" t="n">
        <v>0.0551</v>
      </c>
      <c r="AB16" s="9" t="n">
        <v>0.0331</v>
      </c>
      <c r="AC16" s="9" t="n">
        <v>0.1397</v>
      </c>
      <c r="AD16" s="9" t="n">
        <v>0.0184</v>
      </c>
      <c r="AE16" s="9" t="n">
        <v>0.1728</v>
      </c>
      <c r="AF16" s="9" t="n">
        <v>0.0294</v>
      </c>
      <c r="AG16" s="9" t="n">
        <v>0.0478</v>
      </c>
      <c r="AH16" s="9" t="n">
        <v>0.0257</v>
      </c>
      <c r="AI16" s="9" t="n">
        <v>0.8015</v>
      </c>
      <c r="AJ16" s="9" t="n">
        <v>1.2477</v>
      </c>
      <c r="AK16" s="9" t="n">
        <v>89.93000000000001</v>
      </c>
    </row>
    <row r="17">
      <c r="A17" s="8" t="n">
        <v>7</v>
      </c>
      <c r="B17" s="8" t="inlineStr">
        <is>
          <t>开州区</t>
        </is>
      </c>
      <c r="C17" s="8" t="n">
        <v>0</v>
      </c>
      <c r="D17" s="8" t="n">
        <v>5.96</v>
      </c>
      <c r="E17" s="8" t="n">
        <v>3.31</v>
      </c>
      <c r="F17" s="8" t="n">
        <v>3.97</v>
      </c>
      <c r="G17" s="8" t="n">
        <v>1.32</v>
      </c>
      <c r="H17" s="8" t="n">
        <v>5.96</v>
      </c>
      <c r="I17" s="8" t="n">
        <v>3.31</v>
      </c>
      <c r="J17" s="8" t="n">
        <v>0</v>
      </c>
      <c r="K17" s="8" t="n">
        <v>0.66</v>
      </c>
      <c r="L17" s="8" t="n">
        <v>3.97</v>
      </c>
      <c r="M17" s="8" t="n">
        <v>21.85</v>
      </c>
      <c r="N17" s="8" t="n">
        <v>6.62</v>
      </c>
      <c r="O17" s="8" t="n">
        <v>11.92</v>
      </c>
      <c r="P17" s="8" t="n">
        <v>19.21</v>
      </c>
      <c r="Q17" s="8" t="n">
        <v>0</v>
      </c>
      <c r="R17" s="8" t="n">
        <v>11.92</v>
      </c>
      <c r="S17" s="8" t="n">
        <v>0.0625</v>
      </c>
      <c r="T17" s="8" t="n">
        <v>0.0029</v>
      </c>
      <c r="U17" s="8" t="n">
        <v>0.0294</v>
      </c>
      <c r="V17" s="8" t="n">
        <v>0.0228</v>
      </c>
      <c r="W17" s="8" t="n">
        <v>0.0493</v>
      </c>
      <c r="X17" s="8" t="n">
        <v>0.0029</v>
      </c>
      <c r="Y17" s="8" t="n">
        <v>0.0294</v>
      </c>
      <c r="Z17" s="8" t="n">
        <v>0.0625</v>
      </c>
      <c r="AA17" s="8" t="n">
        <v>0.0559</v>
      </c>
      <c r="AB17" s="8" t="n">
        <v>0.0228</v>
      </c>
      <c r="AC17" s="8" t="n">
        <v>0.156</v>
      </c>
      <c r="AD17" s="8" t="n">
        <v>0.0037</v>
      </c>
      <c r="AE17" s="8" t="n">
        <v>0.0567</v>
      </c>
      <c r="AF17" s="8" t="n">
        <v>0.1296</v>
      </c>
      <c r="AG17" s="8" t="n">
        <v>0.0625</v>
      </c>
      <c r="AH17" s="8" t="n">
        <v>0.0567</v>
      </c>
      <c r="AI17" s="8" t="n">
        <v>0.8055</v>
      </c>
      <c r="AJ17" s="8" t="n">
        <v>1.2415</v>
      </c>
      <c r="AK17" s="8" t="n">
        <v>89.5</v>
      </c>
    </row>
    <row r="18">
      <c r="A18" s="9" t="n">
        <v>8</v>
      </c>
      <c r="B18" s="9" t="inlineStr">
        <is>
          <t>丰都县</t>
        </is>
      </c>
      <c r="C18" s="9" t="n">
        <v>0</v>
      </c>
      <c r="D18" s="9" t="n">
        <v>4.58</v>
      </c>
      <c r="E18" s="9" t="n">
        <v>1.96</v>
      </c>
      <c r="F18" s="9" t="n">
        <v>3.92</v>
      </c>
      <c r="G18" s="9" t="n">
        <v>3.27</v>
      </c>
      <c r="H18" s="9" t="n">
        <v>4.58</v>
      </c>
      <c r="I18" s="9" t="n">
        <v>3.27</v>
      </c>
      <c r="J18" s="9" t="n">
        <v>0.65</v>
      </c>
      <c r="K18" s="9" t="n">
        <v>1.31</v>
      </c>
      <c r="L18" s="9" t="n">
        <v>3.92</v>
      </c>
      <c r="M18" s="9" t="n">
        <v>18.95</v>
      </c>
      <c r="N18" s="9" t="n">
        <v>8.5</v>
      </c>
      <c r="O18" s="9" t="n">
        <v>11.76</v>
      </c>
      <c r="P18" s="9" t="n">
        <v>11.76</v>
      </c>
      <c r="Q18" s="9" t="n">
        <v>0.65</v>
      </c>
      <c r="R18" s="9" t="n">
        <v>20.92</v>
      </c>
      <c r="S18" s="9" t="n">
        <v>0.0625</v>
      </c>
      <c r="T18" s="9" t="n">
        <v>0.0167</v>
      </c>
      <c r="U18" s="9" t="n">
        <v>0.0429</v>
      </c>
      <c r="V18" s="9" t="n">
        <v>0.0233</v>
      </c>
      <c r="W18" s="9" t="n">
        <v>0.0298</v>
      </c>
      <c r="X18" s="9" t="n">
        <v>0.0167</v>
      </c>
      <c r="Y18" s="9" t="n">
        <v>0.0298</v>
      </c>
      <c r="Z18" s="9" t="n">
        <v>0.056</v>
      </c>
      <c r="AA18" s="9" t="n">
        <v>0.0494</v>
      </c>
      <c r="AB18" s="9" t="n">
        <v>0.0233</v>
      </c>
      <c r="AC18" s="9" t="n">
        <v>0.127</v>
      </c>
      <c r="AD18" s="9" t="n">
        <v>0.0225</v>
      </c>
      <c r="AE18" s="9" t="n">
        <v>0.0551</v>
      </c>
      <c r="AF18" s="9" t="n">
        <v>0.0551</v>
      </c>
      <c r="AG18" s="9" t="n">
        <v>0.056</v>
      </c>
      <c r="AH18" s="9" t="n">
        <v>0.1467</v>
      </c>
      <c r="AI18" s="9" t="n">
        <v>0.8129</v>
      </c>
      <c r="AJ18" s="9" t="n">
        <v>1.2302</v>
      </c>
      <c r="AK18" s="9" t="n">
        <v>88.7</v>
      </c>
    </row>
    <row r="19">
      <c r="A19" s="8" t="n">
        <v>9</v>
      </c>
      <c r="B19" s="8" t="inlineStr">
        <is>
          <t>武隆区</t>
        </is>
      </c>
      <c r="C19" s="8" t="n">
        <v>0</v>
      </c>
      <c r="D19" s="8" t="n">
        <v>5.97</v>
      </c>
      <c r="E19" s="8" t="n">
        <v>1.19</v>
      </c>
      <c r="F19" s="8" t="n">
        <v>2.09</v>
      </c>
      <c r="G19" s="8" t="n">
        <v>11.64</v>
      </c>
      <c r="H19" s="8" t="n">
        <v>2.69</v>
      </c>
      <c r="I19" s="8" t="n">
        <v>3.88</v>
      </c>
      <c r="J19" s="8" t="n">
        <v>1.19</v>
      </c>
      <c r="K19" s="8" t="n">
        <v>2.39</v>
      </c>
      <c r="L19" s="8" t="n">
        <v>2.09</v>
      </c>
      <c r="M19" s="8" t="n">
        <v>20.6</v>
      </c>
      <c r="N19" s="8" t="n">
        <v>16.12</v>
      </c>
      <c r="O19" s="8" t="n">
        <v>13.73</v>
      </c>
      <c r="P19" s="8" t="n">
        <v>9.25</v>
      </c>
      <c r="Q19" s="8" t="n">
        <v>0.3</v>
      </c>
      <c r="R19" s="8" t="n">
        <v>6.87</v>
      </c>
      <c r="S19" s="8" t="n">
        <v>0.0625</v>
      </c>
      <c r="T19" s="8" t="n">
        <v>0.0028</v>
      </c>
      <c r="U19" s="8" t="n">
        <v>0.0506</v>
      </c>
      <c r="V19" s="8" t="n">
        <v>0.0416</v>
      </c>
      <c r="W19" s="8" t="n">
        <v>0.0539</v>
      </c>
      <c r="X19" s="8" t="n">
        <v>0.0356</v>
      </c>
      <c r="Y19" s="8" t="n">
        <v>0.0237</v>
      </c>
      <c r="Z19" s="8" t="n">
        <v>0.0506</v>
      </c>
      <c r="AA19" s="8" t="n">
        <v>0.0386</v>
      </c>
      <c r="AB19" s="8" t="n">
        <v>0.0416</v>
      </c>
      <c r="AC19" s="8" t="n">
        <v>0.1435</v>
      </c>
      <c r="AD19" s="8" t="n">
        <v>0.0987</v>
      </c>
      <c r="AE19" s="8" t="n">
        <v>0.07480000000000001</v>
      </c>
      <c r="AF19" s="8" t="n">
        <v>0.03</v>
      </c>
      <c r="AG19" s="8" t="n">
        <v>0.0595</v>
      </c>
      <c r="AH19" s="8" t="n">
        <v>0.0062</v>
      </c>
      <c r="AI19" s="8" t="n">
        <v>0.8142</v>
      </c>
      <c r="AJ19" s="8" t="n">
        <v>1.2282</v>
      </c>
      <c r="AK19" s="8" t="n">
        <v>88.56</v>
      </c>
    </row>
    <row r="20">
      <c r="A20" s="9" t="n">
        <v>10</v>
      </c>
      <c r="B20" s="9" t="inlineStr">
        <is>
          <t>沙坪坝区</t>
        </is>
      </c>
      <c r="C20" s="9" t="n">
        <v>0.5600000000000001</v>
      </c>
      <c r="D20" s="9" t="n">
        <v>7.82</v>
      </c>
      <c r="E20" s="9" t="n">
        <v>2.23</v>
      </c>
      <c r="F20" s="9" t="n">
        <v>4.47</v>
      </c>
      <c r="G20" s="9" t="n">
        <v>5.59</v>
      </c>
      <c r="H20" s="9" t="n">
        <v>1.12</v>
      </c>
      <c r="I20" s="9" t="n">
        <v>2.23</v>
      </c>
      <c r="J20" s="9" t="n">
        <v>0</v>
      </c>
      <c r="K20" s="9" t="n">
        <v>0</v>
      </c>
      <c r="L20" s="9" t="n">
        <v>7.82</v>
      </c>
      <c r="M20" s="9" t="n">
        <v>23.46</v>
      </c>
      <c r="N20" s="9" t="n">
        <v>5.59</v>
      </c>
      <c r="O20" s="9" t="n">
        <v>20.67</v>
      </c>
      <c r="P20" s="9" t="n">
        <v>11.17</v>
      </c>
      <c r="Q20" s="9" t="n">
        <v>0</v>
      </c>
      <c r="R20" s="9" t="n">
        <v>7.26</v>
      </c>
      <c r="S20" s="9" t="n">
        <v>0.0569</v>
      </c>
      <c r="T20" s="9" t="n">
        <v>0.0157</v>
      </c>
      <c r="U20" s="9" t="n">
        <v>0.0402</v>
      </c>
      <c r="V20" s="9" t="n">
        <v>0.0178</v>
      </c>
      <c r="W20" s="9" t="n">
        <v>0.0066</v>
      </c>
      <c r="X20" s="9" t="n">
        <v>0.0513</v>
      </c>
      <c r="Y20" s="9" t="n">
        <v>0.0402</v>
      </c>
      <c r="Z20" s="9" t="n">
        <v>0.0625</v>
      </c>
      <c r="AA20" s="9" t="n">
        <v>0.0625</v>
      </c>
      <c r="AB20" s="9" t="n">
        <v>0.0157</v>
      </c>
      <c r="AC20" s="9" t="n">
        <v>0.1721</v>
      </c>
      <c r="AD20" s="9" t="n">
        <v>0.0066</v>
      </c>
      <c r="AE20" s="9" t="n">
        <v>0.1442</v>
      </c>
      <c r="AF20" s="9" t="n">
        <v>0.0492</v>
      </c>
      <c r="AG20" s="9" t="n">
        <v>0.0625</v>
      </c>
      <c r="AH20" s="9" t="n">
        <v>0.0101</v>
      </c>
      <c r="AI20" s="9" t="n">
        <v>0.8142</v>
      </c>
      <c r="AJ20" s="9" t="n">
        <v>1.2281</v>
      </c>
      <c r="AK20" s="9" t="n">
        <v>88.56</v>
      </c>
    </row>
    <row r="21">
      <c r="A21" s="8" t="n">
        <v>11</v>
      </c>
      <c r="B21" s="8" t="inlineStr">
        <is>
          <t>北碚区</t>
        </is>
      </c>
      <c r="C21" s="8" t="n">
        <v>2.58</v>
      </c>
      <c r="D21" s="8" t="n">
        <v>9.029999999999999</v>
      </c>
      <c r="E21" s="8" t="n">
        <v>0.65</v>
      </c>
      <c r="F21" s="8" t="n">
        <v>3.23</v>
      </c>
      <c r="G21" s="8" t="n">
        <v>3.23</v>
      </c>
      <c r="H21" s="8" t="n">
        <v>3.23</v>
      </c>
      <c r="I21" s="8" t="n">
        <v>5.16</v>
      </c>
      <c r="J21" s="8" t="n">
        <v>0.65</v>
      </c>
      <c r="K21" s="8" t="n">
        <v>1.94</v>
      </c>
      <c r="L21" s="8" t="n">
        <v>3.87</v>
      </c>
      <c r="M21" s="8" t="n">
        <v>18.06</v>
      </c>
      <c r="N21" s="8" t="n">
        <v>14.19</v>
      </c>
      <c r="O21" s="8" t="n">
        <v>23.23</v>
      </c>
      <c r="P21" s="8" t="n">
        <v>7.74</v>
      </c>
      <c r="Q21" s="8" t="n">
        <v>1.29</v>
      </c>
      <c r="R21" s="8" t="n">
        <v>1.94</v>
      </c>
      <c r="S21" s="8" t="n">
        <v>0.0367</v>
      </c>
      <c r="T21" s="8" t="n">
        <v>0.0278</v>
      </c>
      <c r="U21" s="8" t="n">
        <v>0.056</v>
      </c>
      <c r="V21" s="8" t="n">
        <v>0.0302</v>
      </c>
      <c r="W21" s="8" t="n">
        <v>0.0302</v>
      </c>
      <c r="X21" s="8" t="n">
        <v>0.0302</v>
      </c>
      <c r="Y21" s="8" t="n">
        <v>0.0109</v>
      </c>
      <c r="Z21" s="8" t="n">
        <v>0.056</v>
      </c>
      <c r="AA21" s="8" t="n">
        <v>0.0431</v>
      </c>
      <c r="AB21" s="8" t="n">
        <v>0.0238</v>
      </c>
      <c r="AC21" s="8" t="n">
        <v>0.1181</v>
      </c>
      <c r="AD21" s="8" t="n">
        <v>0.0794</v>
      </c>
      <c r="AE21" s="8" t="n">
        <v>0.1698</v>
      </c>
      <c r="AF21" s="8" t="n">
        <v>0.0149</v>
      </c>
      <c r="AG21" s="8" t="n">
        <v>0.0496</v>
      </c>
      <c r="AH21" s="8" t="n">
        <v>0.0431</v>
      </c>
      <c r="AI21" s="8" t="n">
        <v>0.8202</v>
      </c>
      <c r="AJ21" s="8" t="n">
        <v>1.2193</v>
      </c>
      <c r="AK21" s="8" t="n">
        <v>87.94</v>
      </c>
    </row>
    <row r="22">
      <c r="A22" s="9" t="n">
        <v>12</v>
      </c>
      <c r="B22" s="9" t="inlineStr">
        <is>
          <t>南岸区</t>
        </is>
      </c>
      <c r="C22" s="9" t="n">
        <v>0.82</v>
      </c>
      <c r="D22" s="9" t="n">
        <v>6.15</v>
      </c>
      <c r="E22" s="9" t="n">
        <v>3.28</v>
      </c>
      <c r="F22" s="9" t="n">
        <v>6.15</v>
      </c>
      <c r="G22" s="9" t="n">
        <v>1.64</v>
      </c>
      <c r="H22" s="9" t="n">
        <v>2.05</v>
      </c>
      <c r="I22" s="9" t="n">
        <v>4.51</v>
      </c>
      <c r="J22" s="9" t="n">
        <v>0</v>
      </c>
      <c r="K22" s="9" t="n">
        <v>0.82</v>
      </c>
      <c r="L22" s="9" t="n">
        <v>1.64</v>
      </c>
      <c r="M22" s="9" t="n">
        <v>21.72</v>
      </c>
      <c r="N22" s="9" t="n">
        <v>7.79</v>
      </c>
      <c r="O22" s="9" t="n">
        <v>19.67</v>
      </c>
      <c r="P22" s="9" t="n">
        <v>9.84</v>
      </c>
      <c r="Q22" s="9" t="n">
        <v>0.41</v>
      </c>
      <c r="R22" s="9" t="n">
        <v>13.52</v>
      </c>
      <c r="S22" s="9" t="n">
        <v>0.0543</v>
      </c>
      <c r="T22" s="9" t="n">
        <v>0.001</v>
      </c>
      <c r="U22" s="9" t="n">
        <v>0.0297</v>
      </c>
      <c r="V22" s="9" t="n">
        <v>0.001</v>
      </c>
      <c r="W22" s="9" t="n">
        <v>0.0461</v>
      </c>
      <c r="X22" s="9" t="n">
        <v>0.042</v>
      </c>
      <c r="Y22" s="9" t="n">
        <v>0.0174</v>
      </c>
      <c r="Z22" s="9" t="n">
        <v>0.0625</v>
      </c>
      <c r="AA22" s="9" t="n">
        <v>0.0543</v>
      </c>
      <c r="AB22" s="9" t="n">
        <v>0.0461</v>
      </c>
      <c r="AC22" s="9" t="n">
        <v>0.1547</v>
      </c>
      <c r="AD22" s="9" t="n">
        <v>0.0154</v>
      </c>
      <c r="AE22" s="9" t="n">
        <v>0.1342</v>
      </c>
      <c r="AF22" s="9" t="n">
        <v>0.0359</v>
      </c>
      <c r="AG22" s="9" t="n">
        <v>0.0584</v>
      </c>
      <c r="AH22" s="9" t="n">
        <v>0.0727</v>
      </c>
      <c r="AI22" s="9" t="n">
        <v>0.8258</v>
      </c>
      <c r="AJ22" s="9" t="n">
        <v>1.2109</v>
      </c>
      <c r="AK22" s="9" t="n">
        <v>87.34999999999999</v>
      </c>
    </row>
    <row r="23">
      <c r="A23" s="8" t="n">
        <v>13</v>
      </c>
      <c r="B23" s="8" t="inlineStr">
        <is>
          <t>梁平区</t>
        </is>
      </c>
      <c r="C23" s="8" t="n">
        <v>1.45</v>
      </c>
      <c r="D23" s="8" t="n">
        <v>7.25</v>
      </c>
      <c r="E23" s="8" t="n">
        <v>0.72</v>
      </c>
      <c r="F23" s="8" t="n">
        <v>2.17</v>
      </c>
      <c r="G23" s="8" t="n">
        <v>0.72</v>
      </c>
      <c r="H23" s="8" t="n">
        <v>2.9</v>
      </c>
      <c r="I23" s="8" t="n">
        <v>5.07</v>
      </c>
      <c r="J23" s="8" t="n">
        <v>0</v>
      </c>
      <c r="K23" s="8" t="n">
        <v>1.45</v>
      </c>
      <c r="L23" s="8" t="n">
        <v>5.8</v>
      </c>
      <c r="M23" s="8" t="n">
        <v>20.29</v>
      </c>
      <c r="N23" s="8" t="n">
        <v>12.32</v>
      </c>
      <c r="O23" s="8" t="n">
        <v>14.49</v>
      </c>
      <c r="P23" s="8" t="n">
        <v>15.22</v>
      </c>
      <c r="Q23" s="8" t="n">
        <v>0.72</v>
      </c>
      <c r="R23" s="8" t="n">
        <v>9.42</v>
      </c>
      <c r="S23" s="8" t="n">
        <v>0.048</v>
      </c>
      <c r="T23" s="8" t="n">
        <v>0.01</v>
      </c>
      <c r="U23" s="8" t="n">
        <v>0.0553</v>
      </c>
      <c r="V23" s="8" t="n">
        <v>0.0408</v>
      </c>
      <c r="W23" s="8" t="n">
        <v>0.0553</v>
      </c>
      <c r="X23" s="8" t="n">
        <v>0.0335</v>
      </c>
      <c r="Y23" s="8" t="n">
        <v>0.0118</v>
      </c>
      <c r="Z23" s="8" t="n">
        <v>0.0625</v>
      </c>
      <c r="AA23" s="8" t="n">
        <v>0.048</v>
      </c>
      <c r="AB23" s="8" t="n">
        <v>0.0045</v>
      </c>
      <c r="AC23" s="8" t="n">
        <v>0.1404</v>
      </c>
      <c r="AD23" s="8" t="n">
        <v>0.0607</v>
      </c>
      <c r="AE23" s="8" t="n">
        <v>0.0824</v>
      </c>
      <c r="AF23" s="8" t="n">
        <v>0.0897</v>
      </c>
      <c r="AG23" s="8" t="n">
        <v>0.0553</v>
      </c>
      <c r="AH23" s="8" t="n">
        <v>0.0317</v>
      </c>
      <c r="AI23" s="8" t="n">
        <v>0.8297</v>
      </c>
      <c r="AJ23" s="8" t="n">
        <v>1.2052</v>
      </c>
      <c r="AK23" s="8" t="n">
        <v>86.95</v>
      </c>
    </row>
    <row r="24">
      <c r="A24" s="9" t="n">
        <v>14</v>
      </c>
      <c r="B24" s="9" t="inlineStr">
        <is>
          <t>云阳县</t>
        </is>
      </c>
      <c r="C24" s="9" t="n">
        <v>0.72</v>
      </c>
      <c r="D24" s="9" t="n">
        <v>7.19</v>
      </c>
      <c r="E24" s="9" t="n">
        <v>0.36</v>
      </c>
      <c r="F24" s="9" t="n">
        <v>2.52</v>
      </c>
      <c r="G24" s="9" t="n">
        <v>1.44</v>
      </c>
      <c r="H24" s="9" t="n">
        <v>3.6</v>
      </c>
      <c r="I24" s="9" t="n">
        <v>3.24</v>
      </c>
      <c r="J24" s="9" t="n">
        <v>2.88</v>
      </c>
      <c r="K24" s="9" t="n">
        <v>0.72</v>
      </c>
      <c r="L24" s="9" t="n">
        <v>4.68</v>
      </c>
      <c r="M24" s="9" t="n">
        <v>24.82</v>
      </c>
      <c r="N24" s="9" t="n">
        <v>12.59</v>
      </c>
      <c r="O24" s="9" t="n">
        <v>17.63</v>
      </c>
      <c r="P24" s="9" t="n">
        <v>7.19</v>
      </c>
      <c r="Q24" s="9" t="n">
        <v>0.72</v>
      </c>
      <c r="R24" s="9" t="n">
        <v>9.710000000000001</v>
      </c>
      <c r="S24" s="9" t="n">
        <v>0.0553</v>
      </c>
      <c r="T24" s="9" t="n">
        <v>0.0094</v>
      </c>
      <c r="U24" s="9" t="n">
        <v>0.0589</v>
      </c>
      <c r="V24" s="9" t="n">
        <v>0.0373</v>
      </c>
      <c r="W24" s="9" t="n">
        <v>0.0481</v>
      </c>
      <c r="X24" s="9" t="n">
        <v>0.0265</v>
      </c>
      <c r="Y24" s="9" t="n">
        <v>0.0301</v>
      </c>
      <c r="Z24" s="9" t="n">
        <v>0.0337</v>
      </c>
      <c r="AA24" s="9" t="n">
        <v>0.0553</v>
      </c>
      <c r="AB24" s="9" t="n">
        <v>0.0157</v>
      </c>
      <c r="AC24" s="9" t="n">
        <v>0.1857</v>
      </c>
      <c r="AD24" s="9" t="n">
        <v>0.0634</v>
      </c>
      <c r="AE24" s="9" t="n">
        <v>0.1138</v>
      </c>
      <c r="AF24" s="9" t="n">
        <v>0.0094</v>
      </c>
      <c r="AG24" s="9" t="n">
        <v>0.0553</v>
      </c>
      <c r="AH24" s="9" t="n">
        <v>0.0346</v>
      </c>
      <c r="AI24" s="9" t="n">
        <v>0.8327</v>
      </c>
      <c r="AJ24" s="9" t="n">
        <v>1.2009</v>
      </c>
      <c r="AK24" s="9" t="n">
        <v>86.65000000000001</v>
      </c>
    </row>
    <row r="25">
      <c r="A25" s="8" t="n">
        <v>15</v>
      </c>
      <c r="B25" s="8" t="inlineStr">
        <is>
          <t>巫溪县</t>
        </is>
      </c>
      <c r="C25" s="8" t="n">
        <v>0.26</v>
      </c>
      <c r="D25" s="8" t="n">
        <v>7.99</v>
      </c>
      <c r="E25" s="8" t="n">
        <v>3.87</v>
      </c>
      <c r="F25" s="8" t="n">
        <v>2.32</v>
      </c>
      <c r="G25" s="8" t="n">
        <v>4.64</v>
      </c>
      <c r="H25" s="8" t="n">
        <v>1.8</v>
      </c>
      <c r="I25" s="8" t="n">
        <v>4.9</v>
      </c>
      <c r="J25" s="8" t="n">
        <v>0.26</v>
      </c>
      <c r="K25" s="8" t="n">
        <v>1.03</v>
      </c>
      <c r="L25" s="8" t="n">
        <v>5.15</v>
      </c>
      <c r="M25" s="8" t="n">
        <v>28.09</v>
      </c>
      <c r="N25" s="8" t="n">
        <v>6.96</v>
      </c>
      <c r="O25" s="8" t="n">
        <v>22.42</v>
      </c>
      <c r="P25" s="8" t="n">
        <v>7.47</v>
      </c>
      <c r="Q25" s="8" t="n">
        <v>0.52</v>
      </c>
      <c r="R25" s="8" t="n">
        <v>2.32</v>
      </c>
      <c r="S25" s="8" t="n">
        <v>0.0599</v>
      </c>
      <c r="T25" s="8" t="n">
        <v>0.0174</v>
      </c>
      <c r="U25" s="8" t="n">
        <v>0.0238</v>
      </c>
      <c r="V25" s="8" t="n">
        <v>0.0393</v>
      </c>
      <c r="W25" s="8" t="n">
        <v>0.0161</v>
      </c>
      <c r="X25" s="8" t="n">
        <v>0.0445</v>
      </c>
      <c r="Y25" s="8" t="n">
        <v>0.0135</v>
      </c>
      <c r="Z25" s="8" t="n">
        <v>0.0599</v>
      </c>
      <c r="AA25" s="8" t="n">
        <v>0.0522</v>
      </c>
      <c r="AB25" s="8" t="n">
        <v>0.011</v>
      </c>
      <c r="AC25" s="8" t="n">
        <v>0.2184</v>
      </c>
      <c r="AD25" s="8" t="n">
        <v>0.0071</v>
      </c>
      <c r="AE25" s="8" t="n">
        <v>0.1617</v>
      </c>
      <c r="AF25" s="8" t="n">
        <v>0.0122</v>
      </c>
      <c r="AG25" s="8" t="n">
        <v>0.0573</v>
      </c>
      <c r="AH25" s="8" t="n">
        <v>0.0393</v>
      </c>
      <c r="AI25" s="8" t="n">
        <v>0.8338</v>
      </c>
      <c r="AJ25" s="8" t="n">
        <v>1.1994</v>
      </c>
      <c r="AK25" s="8" t="n">
        <v>86.54000000000001</v>
      </c>
    </row>
    <row r="26">
      <c r="A26" s="9" t="n">
        <v>16</v>
      </c>
      <c r="B26" s="9" t="inlineStr">
        <is>
          <t>石柱县</t>
        </is>
      </c>
      <c r="C26" s="9" t="n">
        <v>2.89</v>
      </c>
      <c r="D26" s="9" t="n">
        <v>9.25</v>
      </c>
      <c r="E26" s="9" t="n">
        <v>3.18</v>
      </c>
      <c r="F26" s="9" t="n">
        <v>2.02</v>
      </c>
      <c r="G26" s="9" t="n">
        <v>2.6</v>
      </c>
      <c r="H26" s="9" t="n">
        <v>1.73</v>
      </c>
      <c r="I26" s="9" t="n">
        <v>5.49</v>
      </c>
      <c r="J26" s="9" t="n">
        <v>0.29</v>
      </c>
      <c r="K26" s="9" t="n">
        <v>0.29</v>
      </c>
      <c r="L26" s="9" t="n">
        <v>1.73</v>
      </c>
      <c r="M26" s="9" t="n">
        <v>21.68</v>
      </c>
      <c r="N26" s="9" t="n">
        <v>7.8</v>
      </c>
      <c r="O26" s="9" t="n">
        <v>19.94</v>
      </c>
      <c r="P26" s="9" t="n">
        <v>9.539999999999999</v>
      </c>
      <c r="Q26" s="9" t="n">
        <v>0.58</v>
      </c>
      <c r="R26" s="9" t="n">
        <v>10.98</v>
      </c>
      <c r="S26" s="9" t="n">
        <v>0.0336</v>
      </c>
      <c r="T26" s="9" t="n">
        <v>0.03</v>
      </c>
      <c r="U26" s="9" t="n">
        <v>0.0307</v>
      </c>
      <c r="V26" s="9" t="n">
        <v>0.0423</v>
      </c>
      <c r="W26" s="9" t="n">
        <v>0.0365</v>
      </c>
      <c r="X26" s="9" t="n">
        <v>0.0452</v>
      </c>
      <c r="Y26" s="9" t="n">
        <v>0.0076</v>
      </c>
      <c r="Z26" s="9" t="n">
        <v>0.0596</v>
      </c>
      <c r="AA26" s="9" t="n">
        <v>0.0596</v>
      </c>
      <c r="AB26" s="9" t="n">
        <v>0.0452</v>
      </c>
      <c r="AC26" s="9" t="n">
        <v>0.1543</v>
      </c>
      <c r="AD26" s="9" t="n">
        <v>0.0155</v>
      </c>
      <c r="AE26" s="9" t="n">
        <v>0.1369</v>
      </c>
      <c r="AF26" s="9" t="n">
        <v>0.0329</v>
      </c>
      <c r="AG26" s="9" t="n">
        <v>0.0567</v>
      </c>
      <c r="AH26" s="9" t="n">
        <v>0.0473</v>
      </c>
      <c r="AI26" s="9" t="n">
        <v>0.8338</v>
      </c>
      <c r="AJ26" s="9" t="n">
        <v>1.1993</v>
      </c>
      <c r="AK26" s="9" t="n">
        <v>86.54000000000001</v>
      </c>
    </row>
    <row r="27">
      <c r="A27" s="8" t="n">
        <v>17</v>
      </c>
      <c r="B27" s="8" t="inlineStr">
        <is>
          <t>黔江区</t>
        </is>
      </c>
      <c r="C27" s="8" t="n">
        <v>2.11</v>
      </c>
      <c r="D27" s="8" t="n">
        <v>7.02</v>
      </c>
      <c r="E27" s="8" t="n">
        <v>0.7</v>
      </c>
      <c r="F27" s="8" t="n">
        <v>1.05</v>
      </c>
      <c r="G27" s="8" t="n">
        <v>5.61</v>
      </c>
      <c r="H27" s="8" t="n">
        <v>1.4</v>
      </c>
      <c r="I27" s="8" t="n">
        <v>4.21</v>
      </c>
      <c r="J27" s="8" t="n">
        <v>0</v>
      </c>
      <c r="K27" s="8" t="n">
        <v>3.16</v>
      </c>
      <c r="L27" s="8" t="n">
        <v>1.75</v>
      </c>
      <c r="M27" s="8" t="n">
        <v>27.37</v>
      </c>
      <c r="N27" s="8" t="n">
        <v>10.88</v>
      </c>
      <c r="O27" s="8" t="n">
        <v>17.19</v>
      </c>
      <c r="P27" s="8" t="n">
        <v>9.470000000000001</v>
      </c>
      <c r="Q27" s="8" t="n">
        <v>0.7</v>
      </c>
      <c r="R27" s="8" t="n">
        <v>7.37</v>
      </c>
      <c r="S27" s="8" t="n">
        <v>0.0414</v>
      </c>
      <c r="T27" s="8" t="n">
        <v>0.0077</v>
      </c>
      <c r="U27" s="8" t="n">
        <v>0.0555</v>
      </c>
      <c r="V27" s="8" t="n">
        <v>0.052</v>
      </c>
      <c r="W27" s="8" t="n">
        <v>0.0064</v>
      </c>
      <c r="X27" s="8" t="n">
        <v>0.0485</v>
      </c>
      <c r="Y27" s="8" t="n">
        <v>0.0204</v>
      </c>
      <c r="Z27" s="8" t="n">
        <v>0.0625</v>
      </c>
      <c r="AA27" s="8" t="n">
        <v>0.0309</v>
      </c>
      <c r="AB27" s="8" t="n">
        <v>0.045</v>
      </c>
      <c r="AC27" s="8" t="n">
        <v>0.2112</v>
      </c>
      <c r="AD27" s="8" t="n">
        <v>0.0463</v>
      </c>
      <c r="AE27" s="8" t="n">
        <v>0.1094</v>
      </c>
      <c r="AF27" s="8" t="n">
        <v>0.0322</v>
      </c>
      <c r="AG27" s="8" t="n">
        <v>0.0555</v>
      </c>
      <c r="AH27" s="8" t="n">
        <v>0.0112</v>
      </c>
      <c r="AI27" s="8" t="n">
        <v>0.836</v>
      </c>
      <c r="AJ27" s="8" t="n">
        <v>1.1962</v>
      </c>
      <c r="AK27" s="8" t="n">
        <v>86.31999999999999</v>
      </c>
    </row>
    <row r="28">
      <c r="A28" s="9" t="n">
        <v>18</v>
      </c>
      <c r="B28" s="9" t="inlineStr">
        <is>
          <t>大渡口区</t>
        </is>
      </c>
      <c r="C28" s="9" t="n">
        <v>0.88</v>
      </c>
      <c r="D28" s="9" t="n">
        <v>9.210000000000001</v>
      </c>
      <c r="E28" s="9" t="n">
        <v>3.07</v>
      </c>
      <c r="F28" s="9" t="n">
        <v>1.75</v>
      </c>
      <c r="G28" s="9" t="n">
        <v>1.32</v>
      </c>
      <c r="H28" s="9" t="n">
        <v>2.19</v>
      </c>
      <c r="I28" s="9" t="n">
        <v>5.26</v>
      </c>
      <c r="J28" s="9" t="n">
        <v>0</v>
      </c>
      <c r="K28" s="9" t="n">
        <v>0.88</v>
      </c>
      <c r="L28" s="9" t="n">
        <v>3.95</v>
      </c>
      <c r="M28" s="9" t="n">
        <v>25.44</v>
      </c>
      <c r="N28" s="9" t="n">
        <v>6.58</v>
      </c>
      <c r="O28" s="9" t="n">
        <v>19.3</v>
      </c>
      <c r="P28" s="9" t="n">
        <v>9.65</v>
      </c>
      <c r="Q28" s="9" t="n">
        <v>1.32</v>
      </c>
      <c r="R28" s="9" t="n">
        <v>9.210000000000001</v>
      </c>
      <c r="S28" s="9" t="n">
        <v>0.0537</v>
      </c>
      <c r="T28" s="9" t="n">
        <v>0.0296</v>
      </c>
      <c r="U28" s="9" t="n">
        <v>0.0318</v>
      </c>
      <c r="V28" s="9" t="n">
        <v>0.045</v>
      </c>
      <c r="W28" s="9" t="n">
        <v>0.0493</v>
      </c>
      <c r="X28" s="9" t="n">
        <v>0.0406</v>
      </c>
      <c r="Y28" s="9" t="n">
        <v>0.009900000000000001</v>
      </c>
      <c r="Z28" s="9" t="n">
        <v>0.0625</v>
      </c>
      <c r="AA28" s="9" t="n">
        <v>0.0537</v>
      </c>
      <c r="AB28" s="9" t="n">
        <v>0.023</v>
      </c>
      <c r="AC28" s="9" t="n">
        <v>0.1919</v>
      </c>
      <c r="AD28" s="9" t="n">
        <v>0.0033</v>
      </c>
      <c r="AE28" s="9" t="n">
        <v>0.1305</v>
      </c>
      <c r="AF28" s="9" t="n">
        <v>0.034</v>
      </c>
      <c r="AG28" s="9" t="n">
        <v>0.0493</v>
      </c>
      <c r="AH28" s="9" t="n">
        <v>0.0296</v>
      </c>
      <c r="AI28" s="9" t="n">
        <v>0.8377</v>
      </c>
      <c r="AJ28" s="9" t="n">
        <v>1.1937</v>
      </c>
      <c r="AK28" s="9" t="n">
        <v>86.15000000000001</v>
      </c>
    </row>
    <row r="29">
      <c r="A29" s="8" t="n">
        <v>19</v>
      </c>
      <c r="B29" s="8" t="inlineStr">
        <is>
          <t>长寿区</t>
        </is>
      </c>
      <c r="C29" s="8" t="n">
        <v>0.8100000000000001</v>
      </c>
      <c r="D29" s="8" t="n">
        <v>4.88</v>
      </c>
      <c r="E29" s="8" t="n">
        <v>6.91</v>
      </c>
      <c r="F29" s="8" t="n">
        <v>1.63</v>
      </c>
      <c r="G29" s="8" t="n">
        <v>2.85</v>
      </c>
      <c r="H29" s="8" t="n">
        <v>0.8100000000000001</v>
      </c>
      <c r="I29" s="8" t="n">
        <v>5.28</v>
      </c>
      <c r="J29" s="8" t="n">
        <v>0</v>
      </c>
      <c r="K29" s="8" t="n">
        <v>1.22</v>
      </c>
      <c r="L29" s="8" t="n">
        <v>1.63</v>
      </c>
      <c r="M29" s="8" t="n">
        <v>13.41</v>
      </c>
      <c r="N29" s="8" t="n">
        <v>6.91</v>
      </c>
      <c r="O29" s="8" t="n">
        <v>26.83</v>
      </c>
      <c r="P29" s="8" t="n">
        <v>12.6</v>
      </c>
      <c r="Q29" s="8" t="n">
        <v>0.41</v>
      </c>
      <c r="R29" s="8" t="n">
        <v>13.82</v>
      </c>
      <c r="S29" s="8" t="n">
        <v>0.0544</v>
      </c>
      <c r="T29" s="8" t="n">
        <v>0.0137</v>
      </c>
      <c r="U29" s="8" t="n">
        <v>0.0066</v>
      </c>
      <c r="V29" s="8" t="n">
        <v>0.0462</v>
      </c>
      <c r="W29" s="8" t="n">
        <v>0.034</v>
      </c>
      <c r="X29" s="8" t="n">
        <v>0.0544</v>
      </c>
      <c r="Y29" s="8" t="n">
        <v>0.0097</v>
      </c>
      <c r="Z29" s="8" t="n">
        <v>0.0625</v>
      </c>
      <c r="AA29" s="8" t="n">
        <v>0.0503</v>
      </c>
      <c r="AB29" s="8" t="n">
        <v>0.0462</v>
      </c>
      <c r="AC29" s="8" t="n">
        <v>0.0716</v>
      </c>
      <c r="AD29" s="8" t="n">
        <v>0.0066</v>
      </c>
      <c r="AE29" s="8" t="n">
        <v>0.2058</v>
      </c>
      <c r="AF29" s="8" t="n">
        <v>0.0635</v>
      </c>
      <c r="AG29" s="8" t="n">
        <v>0.0584</v>
      </c>
      <c r="AH29" s="8" t="n">
        <v>0.0757</v>
      </c>
      <c r="AI29" s="8" t="n">
        <v>0.8598</v>
      </c>
      <c r="AJ29" s="8" t="n">
        <v>1.1631</v>
      </c>
      <c r="AK29" s="8" t="n">
        <v>84.01000000000001</v>
      </c>
    </row>
    <row r="30">
      <c r="A30" s="9" t="n">
        <v>20</v>
      </c>
      <c r="B30" s="9" t="inlineStr">
        <is>
          <t>合川区</t>
        </is>
      </c>
      <c r="C30" s="9" t="n">
        <v>3.35</v>
      </c>
      <c r="D30" s="9" t="n">
        <v>5.03</v>
      </c>
      <c r="E30" s="9" t="n">
        <v>1.68</v>
      </c>
      <c r="F30" s="9" t="n">
        <v>3.35</v>
      </c>
      <c r="G30" s="9" t="n">
        <v>1.12</v>
      </c>
      <c r="H30" s="9" t="n">
        <v>2.79</v>
      </c>
      <c r="I30" s="9" t="n">
        <v>7.82</v>
      </c>
      <c r="J30" s="9" t="n">
        <v>0</v>
      </c>
      <c r="K30" s="9" t="n">
        <v>0</v>
      </c>
      <c r="L30" s="9" t="n">
        <v>0</v>
      </c>
      <c r="M30" s="9" t="n">
        <v>17.32</v>
      </c>
      <c r="N30" s="9" t="n">
        <v>11.17</v>
      </c>
      <c r="O30" s="9" t="n">
        <v>18.44</v>
      </c>
      <c r="P30" s="9" t="n">
        <v>13.97</v>
      </c>
      <c r="Q30" s="9" t="n">
        <v>1.68</v>
      </c>
      <c r="R30" s="9" t="n">
        <v>12.29</v>
      </c>
      <c r="S30" s="9" t="n">
        <v>0.029</v>
      </c>
      <c r="T30" s="9" t="n">
        <v>0.0122</v>
      </c>
      <c r="U30" s="9" t="n">
        <v>0.0457</v>
      </c>
      <c r="V30" s="9" t="n">
        <v>0.029</v>
      </c>
      <c r="W30" s="9" t="n">
        <v>0.0513</v>
      </c>
      <c r="X30" s="9" t="n">
        <v>0.0346</v>
      </c>
      <c r="Y30" s="9" t="n">
        <v>0.0157</v>
      </c>
      <c r="Z30" s="9" t="n">
        <v>0.0625</v>
      </c>
      <c r="AA30" s="9" t="n">
        <v>0.0625</v>
      </c>
      <c r="AB30" s="9" t="n">
        <v>0.0625</v>
      </c>
      <c r="AC30" s="9" t="n">
        <v>0.1107</v>
      </c>
      <c r="AD30" s="9" t="n">
        <v>0.0492</v>
      </c>
      <c r="AE30" s="9" t="n">
        <v>0.1219</v>
      </c>
      <c r="AF30" s="9" t="n">
        <v>0.0772</v>
      </c>
      <c r="AG30" s="9" t="n">
        <v>0.0457</v>
      </c>
      <c r="AH30" s="9" t="n">
        <v>0.0604</v>
      </c>
      <c r="AI30" s="9" t="n">
        <v>0.8701</v>
      </c>
      <c r="AJ30" s="9" t="n">
        <v>1.1493</v>
      </c>
      <c r="AK30" s="9" t="n">
        <v>83.04000000000001</v>
      </c>
    </row>
    <row r="31">
      <c r="A31" s="8" t="n">
        <v>21</v>
      </c>
      <c r="B31" s="8" t="inlineStr">
        <is>
          <t>大足区</t>
        </is>
      </c>
      <c r="C31" s="8" t="n">
        <v>1.14</v>
      </c>
      <c r="D31" s="8" t="n">
        <v>10.23</v>
      </c>
      <c r="E31" s="8" t="n">
        <v>0</v>
      </c>
      <c r="F31" s="8" t="n">
        <v>4.55</v>
      </c>
      <c r="G31" s="8" t="n">
        <v>4.55</v>
      </c>
      <c r="H31" s="8" t="n">
        <v>1.14</v>
      </c>
      <c r="I31" s="8" t="n">
        <v>2.27</v>
      </c>
      <c r="J31" s="8" t="n">
        <v>0</v>
      </c>
      <c r="K31" s="8" t="n">
        <v>1.14</v>
      </c>
      <c r="L31" s="8" t="n">
        <v>1.14</v>
      </c>
      <c r="M31" s="8" t="n">
        <v>27.84</v>
      </c>
      <c r="N31" s="8" t="n">
        <v>5.68</v>
      </c>
      <c r="O31" s="8" t="n">
        <v>14.2</v>
      </c>
      <c r="P31" s="8" t="n">
        <v>14.2</v>
      </c>
      <c r="Q31" s="8" t="n">
        <v>3.41</v>
      </c>
      <c r="R31" s="8" t="n">
        <v>8.52</v>
      </c>
      <c r="S31" s="8" t="n">
        <v>0.0511</v>
      </c>
      <c r="T31" s="8" t="n">
        <v>0.0398</v>
      </c>
      <c r="U31" s="8" t="n">
        <v>0.0625</v>
      </c>
      <c r="V31" s="8" t="n">
        <v>0.017</v>
      </c>
      <c r="W31" s="8" t="n">
        <v>0.017</v>
      </c>
      <c r="X31" s="8" t="n">
        <v>0.0511</v>
      </c>
      <c r="Y31" s="8" t="n">
        <v>0.0398</v>
      </c>
      <c r="Z31" s="8" t="n">
        <v>0.0625</v>
      </c>
      <c r="AA31" s="8" t="n">
        <v>0.0511</v>
      </c>
      <c r="AB31" s="8" t="n">
        <v>0.0511</v>
      </c>
      <c r="AC31" s="8" t="n">
        <v>0.2159</v>
      </c>
      <c r="AD31" s="8" t="n">
        <v>0.0057</v>
      </c>
      <c r="AE31" s="8" t="n">
        <v>0.0795</v>
      </c>
      <c r="AF31" s="8" t="n">
        <v>0.0795</v>
      </c>
      <c r="AG31" s="8" t="n">
        <v>0.0284</v>
      </c>
      <c r="AH31" s="8" t="n">
        <v>0.0227</v>
      </c>
      <c r="AI31" s="8" t="n">
        <v>0.875</v>
      </c>
      <c r="AJ31" s="8" t="n">
        <v>1.1429</v>
      </c>
      <c r="AK31" s="8" t="n">
        <v>82.59</v>
      </c>
    </row>
    <row r="32">
      <c r="A32" s="9" t="n">
        <v>22</v>
      </c>
      <c r="B32" s="9" t="inlineStr">
        <is>
          <t>璧山区</t>
        </is>
      </c>
      <c r="C32" s="9" t="n">
        <v>3.57</v>
      </c>
      <c r="D32" s="9" t="n">
        <v>13.69</v>
      </c>
      <c r="E32" s="9" t="n">
        <v>1.79</v>
      </c>
      <c r="F32" s="9" t="n">
        <v>4.17</v>
      </c>
      <c r="G32" s="9" t="n">
        <v>2.38</v>
      </c>
      <c r="H32" s="9" t="n">
        <v>1.79</v>
      </c>
      <c r="I32" s="9" t="n">
        <v>1.79</v>
      </c>
      <c r="J32" s="9" t="n">
        <v>0</v>
      </c>
      <c r="K32" s="9" t="n">
        <v>0</v>
      </c>
      <c r="L32" s="9" t="n">
        <v>1.19</v>
      </c>
      <c r="M32" s="9" t="n">
        <v>19.64</v>
      </c>
      <c r="N32" s="9" t="n">
        <v>14.29</v>
      </c>
      <c r="O32" s="9" t="n">
        <v>14.29</v>
      </c>
      <c r="P32" s="9" t="n">
        <v>10.71</v>
      </c>
      <c r="Q32" s="9" t="n">
        <v>1.79</v>
      </c>
      <c r="R32" s="9" t="n">
        <v>8.93</v>
      </c>
      <c r="S32" s="9" t="n">
        <v>0.0268</v>
      </c>
      <c r="T32" s="9" t="n">
        <v>0.07439999999999999</v>
      </c>
      <c r="U32" s="9" t="n">
        <v>0.0446</v>
      </c>
      <c r="V32" s="9" t="n">
        <v>0.0208</v>
      </c>
      <c r="W32" s="9" t="n">
        <v>0.0387</v>
      </c>
      <c r="X32" s="9" t="n">
        <v>0.0446</v>
      </c>
      <c r="Y32" s="9" t="n">
        <v>0.0446</v>
      </c>
      <c r="Z32" s="9" t="n">
        <v>0.0625</v>
      </c>
      <c r="AA32" s="9" t="n">
        <v>0.0625</v>
      </c>
      <c r="AB32" s="9" t="n">
        <v>0.0506</v>
      </c>
      <c r="AC32" s="9" t="n">
        <v>0.1339</v>
      </c>
      <c r="AD32" s="9" t="n">
        <v>0.0804</v>
      </c>
      <c r="AE32" s="9" t="n">
        <v>0.0804</v>
      </c>
      <c r="AF32" s="9" t="n">
        <v>0.0446</v>
      </c>
      <c r="AG32" s="9" t="n">
        <v>0.0446</v>
      </c>
      <c r="AH32" s="9" t="n">
        <v>0.0268</v>
      </c>
      <c r="AI32" s="9" t="n">
        <v>0.881</v>
      </c>
      <c r="AJ32" s="9" t="n">
        <v>1.1351</v>
      </c>
      <c r="AK32" s="9" t="n">
        <v>82.05</v>
      </c>
    </row>
    <row r="33">
      <c r="A33" s="8" t="n">
        <v>23</v>
      </c>
      <c r="B33" s="8" t="inlineStr">
        <is>
          <t>潼南区</t>
        </is>
      </c>
      <c r="C33" s="8" t="n">
        <v>1.49</v>
      </c>
      <c r="D33" s="8" t="n">
        <v>5.22</v>
      </c>
      <c r="E33" s="8" t="n">
        <v>2.99</v>
      </c>
      <c r="F33" s="8" t="n">
        <v>0</v>
      </c>
      <c r="G33" s="8" t="n">
        <v>1.49</v>
      </c>
      <c r="H33" s="8" t="n">
        <v>3.73</v>
      </c>
      <c r="I33" s="8" t="n">
        <v>7.46</v>
      </c>
      <c r="J33" s="8" t="n">
        <v>2.99</v>
      </c>
      <c r="K33" s="8" t="n">
        <v>0.75</v>
      </c>
      <c r="L33" s="8" t="n">
        <v>1.49</v>
      </c>
      <c r="M33" s="8" t="n">
        <v>23.13</v>
      </c>
      <c r="N33" s="8" t="n">
        <v>5.97</v>
      </c>
      <c r="O33" s="8" t="n">
        <v>21.64</v>
      </c>
      <c r="P33" s="8" t="n">
        <v>17.16</v>
      </c>
      <c r="Q33" s="8" t="n">
        <v>1.49</v>
      </c>
      <c r="R33" s="8" t="n">
        <v>2.99</v>
      </c>
      <c r="S33" s="8" t="n">
        <v>0.0476</v>
      </c>
      <c r="T33" s="8" t="n">
        <v>0.0103</v>
      </c>
      <c r="U33" s="8" t="n">
        <v>0.0326</v>
      </c>
      <c r="V33" s="8" t="n">
        <v>0.0625</v>
      </c>
      <c r="W33" s="8" t="n">
        <v>0.0476</v>
      </c>
      <c r="X33" s="8" t="n">
        <v>0.0252</v>
      </c>
      <c r="Y33" s="8" t="n">
        <v>0.0121</v>
      </c>
      <c r="Z33" s="8" t="n">
        <v>0.0326</v>
      </c>
      <c r="AA33" s="8" t="n">
        <v>0.055</v>
      </c>
      <c r="AB33" s="8" t="n">
        <v>0.0476</v>
      </c>
      <c r="AC33" s="8" t="n">
        <v>0.1688</v>
      </c>
      <c r="AD33" s="8" t="n">
        <v>0.0028</v>
      </c>
      <c r="AE33" s="8" t="n">
        <v>0.1539</v>
      </c>
      <c r="AF33" s="8" t="n">
        <v>0.1091</v>
      </c>
      <c r="AG33" s="8" t="n">
        <v>0.0476</v>
      </c>
      <c r="AH33" s="8" t="n">
        <v>0.0326</v>
      </c>
      <c r="AI33" s="8" t="n">
        <v>0.8881</v>
      </c>
      <c r="AJ33" s="8" t="n">
        <v>1.1261</v>
      </c>
      <c r="AK33" s="8" t="n">
        <v>81.41</v>
      </c>
    </row>
    <row r="34">
      <c r="A34" s="9" t="n">
        <v>24</v>
      </c>
      <c r="B34" s="9" t="inlineStr">
        <is>
          <t>万盛经开区</t>
        </is>
      </c>
      <c r="C34" s="9" t="n">
        <v>0.34</v>
      </c>
      <c r="D34" s="9" t="n">
        <v>6.42</v>
      </c>
      <c r="E34" s="9" t="n">
        <v>1.69</v>
      </c>
      <c r="F34" s="9" t="n">
        <v>3.04</v>
      </c>
      <c r="G34" s="9" t="n">
        <v>3.04</v>
      </c>
      <c r="H34" s="9" t="n">
        <v>2.7</v>
      </c>
      <c r="I34" s="9" t="n">
        <v>3.04</v>
      </c>
      <c r="J34" s="9" t="n">
        <v>5.41</v>
      </c>
      <c r="K34" s="9" t="n">
        <v>1.01</v>
      </c>
      <c r="L34" s="9" t="n">
        <v>1.69</v>
      </c>
      <c r="M34" s="9" t="n">
        <v>32.43</v>
      </c>
      <c r="N34" s="9" t="n">
        <v>9.119999999999999</v>
      </c>
      <c r="O34" s="9" t="n">
        <v>21.62</v>
      </c>
      <c r="P34" s="9" t="n">
        <v>4.39</v>
      </c>
      <c r="Q34" s="9" t="n">
        <v>0.34</v>
      </c>
      <c r="R34" s="9" t="n">
        <v>3.72</v>
      </c>
      <c r="S34" s="9" t="n">
        <v>0.0591</v>
      </c>
      <c r="T34" s="9" t="n">
        <v>0.0017</v>
      </c>
      <c r="U34" s="9" t="n">
        <v>0.0456</v>
      </c>
      <c r="V34" s="9" t="n">
        <v>0.0321</v>
      </c>
      <c r="W34" s="9" t="n">
        <v>0.0321</v>
      </c>
      <c r="X34" s="9" t="n">
        <v>0.0355</v>
      </c>
      <c r="Y34" s="9" t="n">
        <v>0.0321</v>
      </c>
      <c r="Z34" s="9" t="n">
        <v>0.008399999999999999</v>
      </c>
      <c r="AA34" s="9" t="n">
        <v>0.0524</v>
      </c>
      <c r="AB34" s="9" t="n">
        <v>0.0456</v>
      </c>
      <c r="AC34" s="9" t="n">
        <v>0.2618</v>
      </c>
      <c r="AD34" s="9" t="n">
        <v>0.0287</v>
      </c>
      <c r="AE34" s="9" t="n">
        <v>0.1537</v>
      </c>
      <c r="AF34" s="9" t="n">
        <v>0.0186</v>
      </c>
      <c r="AG34" s="9" t="n">
        <v>0.0591</v>
      </c>
      <c r="AH34" s="9" t="n">
        <v>0.0253</v>
      </c>
      <c r="AI34" s="9" t="n">
        <v>0.8919</v>
      </c>
      <c r="AJ34" s="9" t="n">
        <v>1.1212</v>
      </c>
      <c r="AK34" s="9" t="n">
        <v>81.06999999999999</v>
      </c>
    </row>
    <row r="35">
      <c r="A35" s="8" t="n">
        <v>25</v>
      </c>
      <c r="B35" s="8" t="inlineStr">
        <is>
          <t>南川区</t>
        </is>
      </c>
      <c r="C35" s="8" t="n">
        <v>0.49</v>
      </c>
      <c r="D35" s="8" t="n">
        <v>7.88</v>
      </c>
      <c r="E35" s="8" t="n">
        <v>0.49</v>
      </c>
      <c r="F35" s="8" t="n">
        <v>0.99</v>
      </c>
      <c r="G35" s="8" t="n">
        <v>7.88</v>
      </c>
      <c r="H35" s="8" t="n">
        <v>0.49</v>
      </c>
      <c r="I35" s="8" t="n">
        <v>4.43</v>
      </c>
      <c r="J35" s="8" t="n">
        <v>0</v>
      </c>
      <c r="K35" s="8" t="n">
        <v>0.99</v>
      </c>
      <c r="L35" s="8" t="n">
        <v>4.43</v>
      </c>
      <c r="M35" s="8" t="n">
        <v>24.63</v>
      </c>
      <c r="N35" s="8" t="n">
        <v>14.78</v>
      </c>
      <c r="O35" s="8" t="n">
        <v>12.81</v>
      </c>
      <c r="P35" s="8" t="n">
        <v>14.29</v>
      </c>
      <c r="Q35" s="8" t="n">
        <v>0</v>
      </c>
      <c r="R35" s="8" t="n">
        <v>5.42</v>
      </c>
      <c r="S35" s="8" t="n">
        <v>0.0576</v>
      </c>
      <c r="T35" s="8" t="n">
        <v>0.0163</v>
      </c>
      <c r="U35" s="8" t="n">
        <v>0.0576</v>
      </c>
      <c r="V35" s="8" t="n">
        <v>0.0526</v>
      </c>
      <c r="W35" s="8" t="n">
        <v>0.0163</v>
      </c>
      <c r="X35" s="8" t="n">
        <v>0.0576</v>
      </c>
      <c r="Y35" s="8" t="n">
        <v>0.0182</v>
      </c>
      <c r="Z35" s="8" t="n">
        <v>0.0625</v>
      </c>
      <c r="AA35" s="8" t="n">
        <v>0.0526</v>
      </c>
      <c r="AB35" s="8" t="n">
        <v>0.0182</v>
      </c>
      <c r="AC35" s="8" t="n">
        <v>0.1838</v>
      </c>
      <c r="AD35" s="8" t="n">
        <v>0.0853</v>
      </c>
      <c r="AE35" s="8" t="n">
        <v>0.06560000000000001</v>
      </c>
      <c r="AF35" s="8" t="n">
        <v>0.0804</v>
      </c>
      <c r="AG35" s="8" t="n">
        <v>0.0625</v>
      </c>
      <c r="AH35" s="8" t="n">
        <v>0.0083</v>
      </c>
      <c r="AI35" s="8" t="n">
        <v>0.8953</v>
      </c>
      <c r="AJ35" s="8" t="n">
        <v>1.1169</v>
      </c>
      <c r="AK35" s="8" t="n">
        <v>80.77</v>
      </c>
    </row>
    <row r="36">
      <c r="A36" s="9" t="n">
        <v>26</v>
      </c>
      <c r="B36" s="9" t="inlineStr">
        <is>
          <t>酉阳县</t>
        </is>
      </c>
      <c r="C36" s="9" t="n">
        <v>0.34</v>
      </c>
      <c r="D36" s="9" t="n">
        <v>5.5</v>
      </c>
      <c r="E36" s="9" t="n">
        <v>1.37</v>
      </c>
      <c r="F36" s="9" t="n">
        <v>4.12</v>
      </c>
      <c r="G36" s="9" t="n">
        <v>4.47</v>
      </c>
      <c r="H36" s="9" t="n">
        <v>1.72</v>
      </c>
      <c r="I36" s="9" t="n">
        <v>4.12</v>
      </c>
      <c r="J36" s="9" t="n">
        <v>0.6899999999999999</v>
      </c>
      <c r="K36" s="9" t="n">
        <v>1.72</v>
      </c>
      <c r="L36" s="9" t="n">
        <v>2.75</v>
      </c>
      <c r="M36" s="9" t="n">
        <v>38.49</v>
      </c>
      <c r="N36" s="9" t="n">
        <v>14.78</v>
      </c>
      <c r="O36" s="9" t="n">
        <v>10.31</v>
      </c>
      <c r="P36" s="9" t="n">
        <v>4.81</v>
      </c>
      <c r="Q36" s="9" t="n">
        <v>0.34</v>
      </c>
      <c r="R36" s="9" t="n">
        <v>4.47</v>
      </c>
      <c r="S36" s="9" t="n">
        <v>0.0591</v>
      </c>
      <c r="T36" s="9" t="n">
        <v>0.0075</v>
      </c>
      <c r="U36" s="9" t="n">
        <v>0.0488</v>
      </c>
      <c r="V36" s="9" t="n">
        <v>0.0213</v>
      </c>
      <c r="W36" s="9" t="n">
        <v>0.0178</v>
      </c>
      <c r="X36" s="9" t="n">
        <v>0.0453</v>
      </c>
      <c r="Y36" s="9" t="n">
        <v>0.0213</v>
      </c>
      <c r="Z36" s="9" t="n">
        <v>0.0556</v>
      </c>
      <c r="AA36" s="9" t="n">
        <v>0.0453</v>
      </c>
      <c r="AB36" s="9" t="n">
        <v>0.035</v>
      </c>
      <c r="AC36" s="9" t="n">
        <v>0.3224</v>
      </c>
      <c r="AD36" s="9" t="n">
        <v>0.0853</v>
      </c>
      <c r="AE36" s="9" t="n">
        <v>0.0406</v>
      </c>
      <c r="AF36" s="9" t="n">
        <v>0.0144</v>
      </c>
      <c r="AG36" s="9" t="n">
        <v>0.0591</v>
      </c>
      <c r="AH36" s="9" t="n">
        <v>0.0178</v>
      </c>
      <c r="AI36" s="9" t="n">
        <v>0.8965</v>
      </c>
      <c r="AJ36" s="9" t="n">
        <v>1.1155</v>
      </c>
      <c r="AK36" s="9" t="n">
        <v>80.67</v>
      </c>
    </row>
    <row r="37">
      <c r="A37" s="8" t="n">
        <v>27</v>
      </c>
      <c r="B37" s="8" t="inlineStr">
        <is>
          <t>彭水县</t>
        </is>
      </c>
      <c r="C37" s="8" t="n">
        <v>0.53</v>
      </c>
      <c r="D37" s="8" t="n">
        <v>7.73</v>
      </c>
      <c r="E37" s="8" t="n">
        <v>2.13</v>
      </c>
      <c r="F37" s="8" t="n">
        <v>1.87</v>
      </c>
      <c r="G37" s="8" t="n">
        <v>2.93</v>
      </c>
      <c r="H37" s="8" t="n">
        <v>2.67</v>
      </c>
      <c r="I37" s="8" t="n">
        <v>4.53</v>
      </c>
      <c r="J37" s="8" t="n">
        <v>0</v>
      </c>
      <c r="K37" s="8" t="n">
        <v>0.53</v>
      </c>
      <c r="L37" s="8" t="n">
        <v>2.13</v>
      </c>
      <c r="M37" s="8" t="n">
        <v>30.67</v>
      </c>
      <c r="N37" s="8" t="n">
        <v>14.67</v>
      </c>
      <c r="O37" s="8" t="n">
        <v>12.27</v>
      </c>
      <c r="P37" s="8" t="n">
        <v>9.33</v>
      </c>
      <c r="Q37" s="8" t="n">
        <v>0.27</v>
      </c>
      <c r="R37" s="8" t="n">
        <v>7.73</v>
      </c>
      <c r="S37" s="8" t="n">
        <v>0.0572</v>
      </c>
      <c r="T37" s="8" t="n">
        <v>0.0148</v>
      </c>
      <c r="U37" s="8" t="n">
        <v>0.0412</v>
      </c>
      <c r="V37" s="8" t="n">
        <v>0.0438</v>
      </c>
      <c r="W37" s="8" t="n">
        <v>0.0332</v>
      </c>
      <c r="X37" s="8" t="n">
        <v>0.0358</v>
      </c>
      <c r="Y37" s="8" t="n">
        <v>0.0172</v>
      </c>
      <c r="Z37" s="8" t="n">
        <v>0.0625</v>
      </c>
      <c r="AA37" s="8" t="n">
        <v>0.0572</v>
      </c>
      <c r="AB37" s="8" t="n">
        <v>0.0412</v>
      </c>
      <c r="AC37" s="8" t="n">
        <v>0.2442</v>
      </c>
      <c r="AD37" s="8" t="n">
        <v>0.0842</v>
      </c>
      <c r="AE37" s="8" t="n">
        <v>0.0602</v>
      </c>
      <c r="AF37" s="8" t="n">
        <v>0.0308</v>
      </c>
      <c r="AG37" s="8" t="n">
        <v>0.0598</v>
      </c>
      <c r="AH37" s="8" t="n">
        <v>0.0148</v>
      </c>
      <c r="AI37" s="8" t="n">
        <v>0.898</v>
      </c>
      <c r="AJ37" s="8" t="n">
        <v>1.1136</v>
      </c>
      <c r="AK37" s="8" t="n">
        <v>80.54000000000001</v>
      </c>
    </row>
    <row r="38">
      <c r="A38" s="9" t="n">
        <v>28</v>
      </c>
      <c r="B38" s="9" t="inlineStr">
        <is>
          <t>奉节县</t>
        </is>
      </c>
      <c r="C38" s="9" t="n">
        <v>0</v>
      </c>
      <c r="D38" s="9" t="n">
        <v>5.88</v>
      </c>
      <c r="E38" s="9" t="n">
        <v>0.5600000000000001</v>
      </c>
      <c r="F38" s="9" t="n">
        <v>3.64</v>
      </c>
      <c r="G38" s="9" t="n">
        <v>1.4</v>
      </c>
      <c r="H38" s="9" t="n">
        <v>1.68</v>
      </c>
      <c r="I38" s="9" t="n">
        <v>9.24</v>
      </c>
      <c r="J38" s="9" t="n">
        <v>0.28</v>
      </c>
      <c r="K38" s="9" t="n">
        <v>1.68</v>
      </c>
      <c r="L38" s="9" t="n">
        <v>1.4</v>
      </c>
      <c r="M38" s="9" t="n">
        <v>19.89</v>
      </c>
      <c r="N38" s="9" t="n">
        <v>16.81</v>
      </c>
      <c r="O38" s="9" t="n">
        <v>18.21</v>
      </c>
      <c r="P38" s="9" t="n">
        <v>8.960000000000001</v>
      </c>
      <c r="Q38" s="9" t="n">
        <v>0.28</v>
      </c>
      <c r="R38" s="9" t="n">
        <v>10.08</v>
      </c>
      <c r="S38" s="9" t="n">
        <v>0.0625</v>
      </c>
      <c r="T38" s="9" t="n">
        <v>0.0037</v>
      </c>
      <c r="U38" s="9" t="n">
        <v>0.0569</v>
      </c>
      <c r="V38" s="9" t="n">
        <v>0.0261</v>
      </c>
      <c r="W38" s="9" t="n">
        <v>0.0485</v>
      </c>
      <c r="X38" s="9" t="n">
        <v>0.0457</v>
      </c>
      <c r="Y38" s="9" t="n">
        <v>0.0299</v>
      </c>
      <c r="Z38" s="9" t="n">
        <v>0.0597</v>
      </c>
      <c r="AA38" s="9" t="n">
        <v>0.0457</v>
      </c>
      <c r="AB38" s="9" t="n">
        <v>0.0485</v>
      </c>
      <c r="AC38" s="9" t="n">
        <v>0.1364</v>
      </c>
      <c r="AD38" s="9" t="n">
        <v>0.1056</v>
      </c>
      <c r="AE38" s="9" t="n">
        <v>0.1196</v>
      </c>
      <c r="AF38" s="9" t="n">
        <v>0.0271</v>
      </c>
      <c r="AG38" s="9" t="n">
        <v>0.0597</v>
      </c>
      <c r="AH38" s="9" t="n">
        <v>0.0383</v>
      </c>
      <c r="AI38" s="9" t="n">
        <v>0.9139</v>
      </c>
      <c r="AJ38" s="9" t="n">
        <v>1.0943</v>
      </c>
      <c r="AK38" s="9" t="n">
        <v>79.18000000000001</v>
      </c>
    </row>
    <row r="39">
      <c r="A39" s="8" t="n">
        <v>29</v>
      </c>
      <c r="B39" s="8" t="inlineStr">
        <is>
          <t>巫山县</t>
        </is>
      </c>
      <c r="C39" s="8" t="n">
        <v>0.3</v>
      </c>
      <c r="D39" s="8" t="n">
        <v>4.73</v>
      </c>
      <c r="E39" s="8" t="n">
        <v>1.78</v>
      </c>
      <c r="F39" s="8" t="n">
        <v>2.37</v>
      </c>
      <c r="G39" s="8" t="n">
        <v>1.48</v>
      </c>
      <c r="H39" s="8" t="n">
        <v>4.14</v>
      </c>
      <c r="I39" s="8" t="n">
        <v>6.8</v>
      </c>
      <c r="J39" s="8" t="n">
        <v>0</v>
      </c>
      <c r="K39" s="8" t="n">
        <v>0.59</v>
      </c>
      <c r="L39" s="8" t="n">
        <v>1.18</v>
      </c>
      <c r="M39" s="8" t="n">
        <v>20.71</v>
      </c>
      <c r="N39" s="8" t="n">
        <v>21.6</v>
      </c>
      <c r="O39" s="8" t="n">
        <v>15.98</v>
      </c>
      <c r="P39" s="8" t="n">
        <v>7.69</v>
      </c>
      <c r="Q39" s="8" t="n">
        <v>0</v>
      </c>
      <c r="R39" s="8" t="n">
        <v>10.65</v>
      </c>
      <c r="S39" s="8" t="n">
        <v>0.0595</v>
      </c>
      <c r="T39" s="8" t="n">
        <v>0.0152</v>
      </c>
      <c r="U39" s="8" t="n">
        <v>0.0447</v>
      </c>
      <c r="V39" s="8" t="n">
        <v>0.0388</v>
      </c>
      <c r="W39" s="8" t="n">
        <v>0.0477</v>
      </c>
      <c r="X39" s="8" t="n">
        <v>0.0211</v>
      </c>
      <c r="Y39" s="8" t="n">
        <v>0.0055</v>
      </c>
      <c r="Z39" s="8" t="n">
        <v>0.0625</v>
      </c>
      <c r="AA39" s="8" t="n">
        <v>0.0566</v>
      </c>
      <c r="AB39" s="8" t="n">
        <v>0.0507</v>
      </c>
      <c r="AC39" s="8" t="n">
        <v>0.1446</v>
      </c>
      <c r="AD39" s="8" t="n">
        <v>0.1535</v>
      </c>
      <c r="AE39" s="8" t="n">
        <v>0.0973</v>
      </c>
      <c r="AF39" s="8" t="n">
        <v>0.0144</v>
      </c>
      <c r="AG39" s="8" t="n">
        <v>0.0625</v>
      </c>
      <c r="AH39" s="8" t="n">
        <v>0.044</v>
      </c>
      <c r="AI39" s="8" t="n">
        <v>0.9186</v>
      </c>
      <c r="AJ39" s="8" t="n">
        <v>1.0886</v>
      </c>
      <c r="AK39" s="8" t="n">
        <v>78.78</v>
      </c>
    </row>
    <row r="40">
      <c r="A40" s="9" t="n">
        <v>30</v>
      </c>
      <c r="B40" s="9" t="inlineStr">
        <is>
          <t>渝中区</t>
        </is>
      </c>
      <c r="C40" s="9" t="n">
        <v>1.04</v>
      </c>
      <c r="D40" s="9" t="n">
        <v>6.53</v>
      </c>
      <c r="E40" s="9" t="n">
        <v>3.66</v>
      </c>
      <c r="F40" s="9" t="n">
        <v>3.39</v>
      </c>
      <c r="G40" s="9" t="n">
        <v>1.57</v>
      </c>
      <c r="H40" s="9" t="n">
        <v>1.83</v>
      </c>
      <c r="I40" s="9" t="n">
        <v>3.92</v>
      </c>
      <c r="J40" s="9" t="n">
        <v>0</v>
      </c>
      <c r="K40" s="9" t="n">
        <v>1.57</v>
      </c>
      <c r="L40" s="9" t="n">
        <v>1.57</v>
      </c>
      <c r="M40" s="9" t="n">
        <v>23.76</v>
      </c>
      <c r="N40" s="9" t="n">
        <v>4.7</v>
      </c>
      <c r="O40" s="9" t="n">
        <v>25.07</v>
      </c>
      <c r="P40" s="9" t="n">
        <v>5.48</v>
      </c>
      <c r="Q40" s="9" t="n">
        <v>0.26</v>
      </c>
      <c r="R40" s="9" t="n">
        <v>15.67</v>
      </c>
      <c r="S40" s="9" t="n">
        <v>0.0521</v>
      </c>
      <c r="T40" s="9" t="n">
        <v>0.0028</v>
      </c>
      <c r="U40" s="9" t="n">
        <v>0.0259</v>
      </c>
      <c r="V40" s="9" t="n">
        <v>0.0286</v>
      </c>
      <c r="W40" s="9" t="n">
        <v>0.0468</v>
      </c>
      <c r="X40" s="9" t="n">
        <v>0.0442</v>
      </c>
      <c r="Y40" s="9" t="n">
        <v>0.0233</v>
      </c>
      <c r="Z40" s="9" t="n">
        <v>0.0625</v>
      </c>
      <c r="AA40" s="9" t="n">
        <v>0.0468</v>
      </c>
      <c r="AB40" s="9" t="n">
        <v>0.0468</v>
      </c>
      <c r="AC40" s="9" t="n">
        <v>0.1751</v>
      </c>
      <c r="AD40" s="9" t="n">
        <v>0.0155</v>
      </c>
      <c r="AE40" s="9" t="n">
        <v>0.1882</v>
      </c>
      <c r="AF40" s="9" t="n">
        <v>0.0077</v>
      </c>
      <c r="AG40" s="9" t="n">
        <v>0.0599</v>
      </c>
      <c r="AH40" s="9" t="n">
        <v>0.09420000000000001</v>
      </c>
      <c r="AI40" s="9" t="n">
        <v>0.9204</v>
      </c>
      <c r="AJ40" s="9" t="n">
        <v>1.0865</v>
      </c>
      <c r="AK40" s="9" t="n">
        <v>78.64</v>
      </c>
    </row>
    <row r="41">
      <c r="A41" s="8" t="n">
        <v>31</v>
      </c>
      <c r="B41" s="8" t="inlineStr">
        <is>
          <t>九龙坡区</t>
        </is>
      </c>
      <c r="C41" s="8" t="n">
        <v>0.37</v>
      </c>
      <c r="D41" s="8" t="n">
        <v>8.99</v>
      </c>
      <c r="E41" s="8" t="n">
        <v>2.25</v>
      </c>
      <c r="F41" s="8" t="n">
        <v>1.5</v>
      </c>
      <c r="G41" s="8" t="n">
        <v>3.37</v>
      </c>
      <c r="H41" s="8" t="n">
        <v>1.5</v>
      </c>
      <c r="I41" s="8" t="n">
        <v>3.37</v>
      </c>
      <c r="J41" s="8" t="n">
        <v>0</v>
      </c>
      <c r="K41" s="8" t="n">
        <v>1.12</v>
      </c>
      <c r="L41" s="8" t="n">
        <v>4.12</v>
      </c>
      <c r="M41" s="8" t="n">
        <v>25.09</v>
      </c>
      <c r="N41" s="8" t="n">
        <v>4.49</v>
      </c>
      <c r="O41" s="8" t="n">
        <v>22.47</v>
      </c>
      <c r="P41" s="8" t="n">
        <v>11.24</v>
      </c>
      <c r="Q41" s="8" t="n">
        <v>0.37</v>
      </c>
      <c r="R41" s="8" t="n">
        <v>9.74</v>
      </c>
      <c r="S41" s="8" t="n">
        <v>0.0588</v>
      </c>
      <c r="T41" s="8" t="n">
        <v>0.0274</v>
      </c>
      <c r="U41" s="8" t="n">
        <v>0.04</v>
      </c>
      <c r="V41" s="8" t="n">
        <v>0.0475</v>
      </c>
      <c r="W41" s="8" t="n">
        <v>0.0288</v>
      </c>
      <c r="X41" s="8" t="n">
        <v>0.0475</v>
      </c>
      <c r="Y41" s="8" t="n">
        <v>0.0288</v>
      </c>
      <c r="Z41" s="8" t="n">
        <v>0.0625</v>
      </c>
      <c r="AA41" s="8" t="n">
        <v>0.0513</v>
      </c>
      <c r="AB41" s="8" t="n">
        <v>0.0213</v>
      </c>
      <c r="AC41" s="8" t="n">
        <v>0.1884</v>
      </c>
      <c r="AD41" s="8" t="n">
        <v>0.0176</v>
      </c>
      <c r="AE41" s="8" t="n">
        <v>0.1622</v>
      </c>
      <c r="AF41" s="8" t="n">
        <v>0.0499</v>
      </c>
      <c r="AG41" s="8" t="n">
        <v>0.0588</v>
      </c>
      <c r="AH41" s="8" t="n">
        <v>0.0349</v>
      </c>
      <c r="AI41" s="8" t="n">
        <v>0.9256</v>
      </c>
      <c r="AJ41" s="8" t="n">
        <v>1.0804</v>
      </c>
      <c r="AK41" s="8" t="n">
        <v>78.20999999999999</v>
      </c>
    </row>
    <row r="42">
      <c r="A42" s="9" t="n">
        <v>32</v>
      </c>
      <c r="B42" s="9" t="inlineStr">
        <is>
          <t>城口县</t>
        </is>
      </c>
      <c r="C42" s="9" t="n">
        <v>0.44</v>
      </c>
      <c r="D42" s="9" t="n">
        <v>7.32</v>
      </c>
      <c r="E42" s="9" t="n">
        <v>1.55</v>
      </c>
      <c r="F42" s="9" t="n">
        <v>1.77</v>
      </c>
      <c r="G42" s="9" t="n">
        <v>1.11</v>
      </c>
      <c r="H42" s="9" t="n">
        <v>1.55</v>
      </c>
      <c r="I42" s="9" t="n">
        <v>3.55</v>
      </c>
      <c r="J42" s="9" t="n">
        <v>0.67</v>
      </c>
      <c r="K42" s="9" t="n">
        <v>1.55</v>
      </c>
      <c r="L42" s="9" t="n">
        <v>3.55</v>
      </c>
      <c r="M42" s="9" t="n">
        <v>27.27</v>
      </c>
      <c r="N42" s="9" t="n">
        <v>19.07</v>
      </c>
      <c r="O42" s="9" t="n">
        <v>16.63</v>
      </c>
      <c r="P42" s="9" t="n">
        <v>7.54</v>
      </c>
      <c r="Q42" s="9" t="n">
        <v>0.44</v>
      </c>
      <c r="R42" s="9" t="n">
        <v>5.99</v>
      </c>
      <c r="S42" s="9" t="n">
        <v>0.0581</v>
      </c>
      <c r="T42" s="9" t="n">
        <v>0.0107</v>
      </c>
      <c r="U42" s="9" t="n">
        <v>0.047</v>
      </c>
      <c r="V42" s="9" t="n">
        <v>0.0448</v>
      </c>
      <c r="W42" s="9" t="n">
        <v>0.0514</v>
      </c>
      <c r="X42" s="9" t="n">
        <v>0.047</v>
      </c>
      <c r="Y42" s="9" t="n">
        <v>0.027</v>
      </c>
      <c r="Z42" s="9" t="n">
        <v>0.0558</v>
      </c>
      <c r="AA42" s="9" t="n">
        <v>0.047</v>
      </c>
      <c r="AB42" s="9" t="n">
        <v>0.027</v>
      </c>
      <c r="AC42" s="9" t="n">
        <v>0.2102</v>
      </c>
      <c r="AD42" s="9" t="n">
        <v>0.1282</v>
      </c>
      <c r="AE42" s="9" t="n">
        <v>0.1038</v>
      </c>
      <c r="AF42" s="9" t="n">
        <v>0.0129</v>
      </c>
      <c r="AG42" s="9" t="n">
        <v>0.0581</v>
      </c>
      <c r="AH42" s="9" t="n">
        <v>0.0026</v>
      </c>
      <c r="AI42" s="9" t="n">
        <v>0.9315</v>
      </c>
      <c r="AJ42" s="9" t="n">
        <v>1.0735</v>
      </c>
      <c r="AK42" s="9" t="n">
        <v>77.73</v>
      </c>
    </row>
    <row r="43">
      <c r="A43" s="8" t="n">
        <v>33</v>
      </c>
      <c r="B43" s="8" t="inlineStr">
        <is>
          <t>万州区</t>
        </is>
      </c>
      <c r="C43" s="8" t="n">
        <v>2.91</v>
      </c>
      <c r="D43" s="8" t="n">
        <v>6.4</v>
      </c>
      <c r="E43" s="8" t="n">
        <v>1.74</v>
      </c>
      <c r="F43" s="8" t="n">
        <v>2.91</v>
      </c>
      <c r="G43" s="8" t="n">
        <v>1.74</v>
      </c>
      <c r="H43" s="8" t="n">
        <v>0</v>
      </c>
      <c r="I43" s="8" t="n">
        <v>2.33</v>
      </c>
      <c r="J43" s="8" t="n">
        <v>0</v>
      </c>
      <c r="K43" s="8" t="n">
        <v>0.58</v>
      </c>
      <c r="L43" s="8" t="n">
        <v>9.880000000000001</v>
      </c>
      <c r="M43" s="8" t="n">
        <v>22.67</v>
      </c>
      <c r="N43" s="8" t="n">
        <v>2.91</v>
      </c>
      <c r="O43" s="8" t="n">
        <v>9.880000000000001</v>
      </c>
      <c r="P43" s="8" t="n">
        <v>7.56</v>
      </c>
      <c r="Q43" s="8" t="n">
        <v>0.58</v>
      </c>
      <c r="R43" s="8" t="n">
        <v>27.91</v>
      </c>
      <c r="S43" s="8" t="n">
        <v>0.0334</v>
      </c>
      <c r="T43" s="8" t="n">
        <v>0.0015</v>
      </c>
      <c r="U43" s="8" t="n">
        <v>0.0451</v>
      </c>
      <c r="V43" s="8" t="n">
        <v>0.0334</v>
      </c>
      <c r="W43" s="8" t="n">
        <v>0.0451</v>
      </c>
      <c r="X43" s="8" t="n">
        <v>0.0625</v>
      </c>
      <c r="Y43" s="8" t="n">
        <v>0.0392</v>
      </c>
      <c r="Z43" s="8" t="n">
        <v>0.0625</v>
      </c>
      <c r="AA43" s="8" t="n">
        <v>0.0567</v>
      </c>
      <c r="AB43" s="8" t="n">
        <v>0.0363</v>
      </c>
      <c r="AC43" s="8" t="n">
        <v>0.1642</v>
      </c>
      <c r="AD43" s="8" t="n">
        <v>0.0334</v>
      </c>
      <c r="AE43" s="8" t="n">
        <v>0.0363</v>
      </c>
      <c r="AF43" s="8" t="n">
        <v>0.0131</v>
      </c>
      <c r="AG43" s="8" t="n">
        <v>0.0567</v>
      </c>
      <c r="AH43" s="8" t="n">
        <v>0.2166</v>
      </c>
      <c r="AI43" s="8" t="n">
        <v>0.9360000000000001</v>
      </c>
      <c r="AJ43" s="8" t="n">
        <v>1.0683</v>
      </c>
      <c r="AK43" s="8" t="n">
        <v>77.37</v>
      </c>
    </row>
    <row r="44">
      <c r="A44" s="9" t="n">
        <v>34</v>
      </c>
      <c r="B44" s="9" t="inlineStr">
        <is>
          <t>忠县</t>
        </is>
      </c>
      <c r="C44" s="9" t="n">
        <v>0</v>
      </c>
      <c r="D44" s="9" t="n">
        <v>8.800000000000001</v>
      </c>
      <c r="E44" s="9" t="n">
        <v>0.8</v>
      </c>
      <c r="F44" s="9" t="n">
        <v>4.8</v>
      </c>
      <c r="G44" s="9" t="n">
        <v>0.8</v>
      </c>
      <c r="H44" s="9" t="n">
        <v>1.6</v>
      </c>
      <c r="I44" s="9" t="n">
        <v>3.6</v>
      </c>
      <c r="J44" s="9" t="n">
        <v>0</v>
      </c>
      <c r="K44" s="9" t="n">
        <v>0.8</v>
      </c>
      <c r="L44" s="9" t="n">
        <v>2</v>
      </c>
      <c r="M44" s="9" t="n">
        <v>24.4</v>
      </c>
      <c r="N44" s="9" t="n">
        <v>9.6</v>
      </c>
      <c r="O44" s="9" t="n">
        <v>15.6</v>
      </c>
      <c r="P44" s="9" t="n">
        <v>12.8</v>
      </c>
      <c r="Q44" s="9" t="n">
        <v>0.4</v>
      </c>
      <c r="R44" s="9" t="n">
        <v>14</v>
      </c>
      <c r="S44" s="9" t="n">
        <v>0.0625</v>
      </c>
      <c r="T44" s="9" t="n">
        <v>0.0255</v>
      </c>
      <c r="U44" s="9" t="n">
        <v>0.0545</v>
      </c>
      <c r="V44" s="9" t="n">
        <v>0.0145</v>
      </c>
      <c r="W44" s="9" t="n">
        <v>0.0545</v>
      </c>
      <c r="X44" s="9" t="n">
        <v>0.0465</v>
      </c>
      <c r="Y44" s="9" t="n">
        <v>0.0265</v>
      </c>
      <c r="Z44" s="9" t="n">
        <v>0.0625</v>
      </c>
      <c r="AA44" s="9" t="n">
        <v>0.0545</v>
      </c>
      <c r="AB44" s="9" t="n">
        <v>0.0425</v>
      </c>
      <c r="AC44" s="9" t="n">
        <v>0.1815</v>
      </c>
      <c r="AD44" s="9" t="n">
        <v>0.0335</v>
      </c>
      <c r="AE44" s="9" t="n">
        <v>0.0935</v>
      </c>
      <c r="AF44" s="9" t="n">
        <v>0.0655</v>
      </c>
      <c r="AG44" s="9" t="n">
        <v>0.0585</v>
      </c>
      <c r="AH44" s="9" t="n">
        <v>0.0775</v>
      </c>
      <c r="AI44" s="9" t="n">
        <v>0.954</v>
      </c>
      <c r="AJ44" s="9" t="n">
        <v>1.0482</v>
      </c>
      <c r="AK44" s="9" t="n">
        <v>75.95999999999999</v>
      </c>
    </row>
    <row r="45">
      <c r="A45" s="8" t="n">
        <v>35</v>
      </c>
      <c r="B45" s="8" t="inlineStr">
        <is>
          <t>巴南区</t>
        </is>
      </c>
      <c r="C45" s="8" t="n">
        <v>0</v>
      </c>
      <c r="D45" s="8" t="n">
        <v>9.880000000000001</v>
      </c>
      <c r="E45" s="8" t="n">
        <v>1.23</v>
      </c>
      <c r="F45" s="8" t="n">
        <v>1.23</v>
      </c>
      <c r="G45" s="8" t="n">
        <v>4.32</v>
      </c>
      <c r="H45" s="8" t="n">
        <v>4.32</v>
      </c>
      <c r="I45" s="8" t="n">
        <v>3.09</v>
      </c>
      <c r="J45" s="8" t="n">
        <v>0</v>
      </c>
      <c r="K45" s="8" t="n">
        <v>0.62</v>
      </c>
      <c r="L45" s="8" t="n">
        <v>0.62</v>
      </c>
      <c r="M45" s="8" t="n">
        <v>23.46</v>
      </c>
      <c r="N45" s="8" t="n">
        <v>3.7</v>
      </c>
      <c r="O45" s="8" t="n">
        <v>14.2</v>
      </c>
      <c r="P45" s="8" t="n">
        <v>19.75</v>
      </c>
      <c r="Q45" s="8" t="n">
        <v>1.23</v>
      </c>
      <c r="R45" s="8" t="n">
        <v>12.35</v>
      </c>
      <c r="S45" s="8" t="n">
        <v>0.0625</v>
      </c>
      <c r="T45" s="8" t="n">
        <v>0.0363</v>
      </c>
      <c r="U45" s="8" t="n">
        <v>0.0502</v>
      </c>
      <c r="V45" s="8" t="n">
        <v>0.0502</v>
      </c>
      <c r="W45" s="8" t="n">
        <v>0.0193</v>
      </c>
      <c r="X45" s="8" t="n">
        <v>0.0193</v>
      </c>
      <c r="Y45" s="8" t="n">
        <v>0.0316</v>
      </c>
      <c r="Z45" s="8" t="n">
        <v>0.0625</v>
      </c>
      <c r="AA45" s="8" t="n">
        <v>0.0563</v>
      </c>
      <c r="AB45" s="8" t="n">
        <v>0.0563</v>
      </c>
      <c r="AC45" s="8" t="n">
        <v>0.1721</v>
      </c>
      <c r="AD45" s="8" t="n">
        <v>0.0255</v>
      </c>
      <c r="AE45" s="8" t="n">
        <v>0.0795</v>
      </c>
      <c r="AF45" s="8" t="n">
        <v>0.135</v>
      </c>
      <c r="AG45" s="8" t="n">
        <v>0.0502</v>
      </c>
      <c r="AH45" s="8" t="n">
        <v>0.061</v>
      </c>
      <c r="AI45" s="8" t="n">
        <v>0.9676</v>
      </c>
      <c r="AJ45" s="8" t="n">
        <v>1.0335</v>
      </c>
      <c r="AK45" s="8" t="n">
        <v>74.93000000000001</v>
      </c>
    </row>
    <row r="46">
      <c r="A46" s="9" t="n">
        <v>36</v>
      </c>
      <c r="B46" s="9" t="inlineStr">
        <is>
          <t>垫江县</t>
        </is>
      </c>
      <c r="C46" s="9" t="n">
        <v>0.84</v>
      </c>
      <c r="D46" s="9" t="n">
        <v>8.4</v>
      </c>
      <c r="E46" s="9" t="n">
        <v>3.78</v>
      </c>
      <c r="F46" s="9" t="n">
        <v>0.42</v>
      </c>
      <c r="G46" s="9" t="n">
        <v>0.84</v>
      </c>
      <c r="H46" s="9" t="n">
        <v>1.26</v>
      </c>
      <c r="I46" s="9" t="n">
        <v>5.04</v>
      </c>
      <c r="J46" s="9" t="n">
        <v>0</v>
      </c>
      <c r="K46" s="9" t="n">
        <v>0</v>
      </c>
      <c r="L46" s="9" t="n">
        <v>1.68</v>
      </c>
      <c r="M46" s="9" t="n">
        <v>22.69</v>
      </c>
      <c r="N46" s="9" t="n">
        <v>5.88</v>
      </c>
      <c r="O46" s="9" t="n">
        <v>27.73</v>
      </c>
      <c r="P46" s="9" t="n">
        <v>10.5</v>
      </c>
      <c r="Q46" s="9" t="n">
        <v>0.42</v>
      </c>
      <c r="R46" s="9" t="n">
        <v>10.5</v>
      </c>
      <c r="S46" s="9" t="n">
        <v>0.0541</v>
      </c>
      <c r="T46" s="9" t="n">
        <v>0.0215</v>
      </c>
      <c r="U46" s="9" t="n">
        <v>0.0247</v>
      </c>
      <c r="V46" s="9" t="n">
        <v>0.0583</v>
      </c>
      <c r="W46" s="9" t="n">
        <v>0.0541</v>
      </c>
      <c r="X46" s="9" t="n">
        <v>0.0499</v>
      </c>
      <c r="Y46" s="9" t="n">
        <v>0.0121</v>
      </c>
      <c r="Z46" s="9" t="n">
        <v>0.0625</v>
      </c>
      <c r="AA46" s="9" t="n">
        <v>0.0625</v>
      </c>
      <c r="AB46" s="9" t="n">
        <v>0.0457</v>
      </c>
      <c r="AC46" s="9" t="n">
        <v>0.1644</v>
      </c>
      <c r="AD46" s="9" t="n">
        <v>0.0037</v>
      </c>
      <c r="AE46" s="9" t="n">
        <v>0.2148</v>
      </c>
      <c r="AF46" s="9" t="n">
        <v>0.0425</v>
      </c>
      <c r="AG46" s="9" t="n">
        <v>0.0583</v>
      </c>
      <c r="AH46" s="9" t="n">
        <v>0.0425</v>
      </c>
      <c r="AI46" s="9" t="n">
        <v>0.9716</v>
      </c>
      <c r="AJ46" s="9" t="n">
        <v>1.0292</v>
      </c>
      <c r="AK46" s="9" t="n">
        <v>74.63</v>
      </c>
    </row>
    <row r="47">
      <c r="A47" s="8" t="n">
        <v>37</v>
      </c>
      <c r="B47" s="8" t="inlineStr">
        <is>
          <t>荣昌区</t>
        </is>
      </c>
      <c r="C47" s="8" t="n">
        <v>0</v>
      </c>
      <c r="D47" s="8" t="n">
        <v>3.28</v>
      </c>
      <c r="E47" s="8" t="n">
        <v>0</v>
      </c>
      <c r="F47" s="8" t="n">
        <v>1.64</v>
      </c>
      <c r="G47" s="8" t="n">
        <v>4.1</v>
      </c>
      <c r="H47" s="8" t="n">
        <v>9.02</v>
      </c>
      <c r="I47" s="8" t="n">
        <v>2.46</v>
      </c>
      <c r="J47" s="8" t="n">
        <v>0</v>
      </c>
      <c r="K47" s="8" t="n">
        <v>0</v>
      </c>
      <c r="L47" s="8" t="n">
        <v>0</v>
      </c>
      <c r="M47" s="8" t="n">
        <v>21.31</v>
      </c>
      <c r="N47" s="8" t="n">
        <v>8.199999999999999</v>
      </c>
      <c r="O47" s="8" t="n">
        <v>14.75</v>
      </c>
      <c r="P47" s="8" t="n">
        <v>20.49</v>
      </c>
      <c r="Q47" s="8" t="n">
        <v>0</v>
      </c>
      <c r="R47" s="8" t="n">
        <v>14.75</v>
      </c>
      <c r="S47" s="8" t="n">
        <v>0.0625</v>
      </c>
      <c r="T47" s="8" t="n">
        <v>0.0297</v>
      </c>
      <c r="U47" s="8" t="n">
        <v>0.0625</v>
      </c>
      <c r="V47" s="8" t="n">
        <v>0.0461</v>
      </c>
      <c r="W47" s="8" t="n">
        <v>0.0215</v>
      </c>
      <c r="X47" s="8" t="n">
        <v>0.0277</v>
      </c>
      <c r="Y47" s="8" t="n">
        <v>0.0379</v>
      </c>
      <c r="Z47" s="8" t="n">
        <v>0.0625</v>
      </c>
      <c r="AA47" s="8" t="n">
        <v>0.0625</v>
      </c>
      <c r="AB47" s="8" t="n">
        <v>0.0625</v>
      </c>
      <c r="AC47" s="8" t="n">
        <v>0.1506</v>
      </c>
      <c r="AD47" s="8" t="n">
        <v>0.0195</v>
      </c>
      <c r="AE47" s="8" t="n">
        <v>0.08500000000000001</v>
      </c>
      <c r="AF47" s="8" t="n">
        <v>0.1424</v>
      </c>
      <c r="AG47" s="8" t="n">
        <v>0.0625</v>
      </c>
      <c r="AH47" s="8" t="n">
        <v>0.08500000000000001</v>
      </c>
      <c r="AI47" s="8" t="n">
        <v>1.0205</v>
      </c>
      <c r="AJ47" s="8" t="n">
        <v>0.9799</v>
      </c>
      <c r="AK47" s="8" t="n">
        <v>71.18000000000001</v>
      </c>
    </row>
    <row r="48">
      <c r="A48" s="9" t="n">
        <v>38</v>
      </c>
      <c r="B48" s="9" t="inlineStr">
        <is>
          <t>秀山县</t>
        </is>
      </c>
      <c r="C48" s="9" t="n">
        <v>0</v>
      </c>
      <c r="D48" s="9" t="n">
        <v>3.25</v>
      </c>
      <c r="E48" s="9" t="n">
        <v>0</v>
      </c>
      <c r="F48" s="9" t="n">
        <v>4.88</v>
      </c>
      <c r="G48" s="9" t="n">
        <v>3.25</v>
      </c>
      <c r="H48" s="9" t="n">
        <v>1.63</v>
      </c>
      <c r="I48" s="9" t="n">
        <v>2.44</v>
      </c>
      <c r="J48" s="9" t="n">
        <v>0</v>
      </c>
      <c r="K48" s="9" t="n">
        <v>0</v>
      </c>
      <c r="L48" s="9" t="n">
        <v>1.63</v>
      </c>
      <c r="M48" s="9" t="n">
        <v>32.52</v>
      </c>
      <c r="N48" s="9" t="n">
        <v>14.63</v>
      </c>
      <c r="O48" s="9" t="n">
        <v>13.01</v>
      </c>
      <c r="P48" s="9" t="n">
        <v>19.51</v>
      </c>
      <c r="Q48" s="9" t="n">
        <v>0.8100000000000001</v>
      </c>
      <c r="R48" s="9" t="n">
        <v>2.44</v>
      </c>
      <c r="S48" s="9" t="n">
        <v>0.0625</v>
      </c>
      <c r="T48" s="9" t="n">
        <v>0.03</v>
      </c>
      <c r="U48" s="9" t="n">
        <v>0.0625</v>
      </c>
      <c r="V48" s="9" t="n">
        <v>0.0137</v>
      </c>
      <c r="W48" s="9" t="n">
        <v>0.03</v>
      </c>
      <c r="X48" s="9" t="n">
        <v>0.0462</v>
      </c>
      <c r="Y48" s="9" t="n">
        <v>0.0381</v>
      </c>
      <c r="Z48" s="9" t="n">
        <v>0.0625</v>
      </c>
      <c r="AA48" s="9" t="n">
        <v>0.0625</v>
      </c>
      <c r="AB48" s="9" t="n">
        <v>0.0462</v>
      </c>
      <c r="AC48" s="9" t="n">
        <v>0.2627</v>
      </c>
      <c r="AD48" s="9" t="n">
        <v>0.0838</v>
      </c>
      <c r="AE48" s="9" t="n">
        <v>0.06759999999999999</v>
      </c>
      <c r="AF48" s="9" t="n">
        <v>0.1326</v>
      </c>
      <c r="AG48" s="9" t="n">
        <v>0.0544</v>
      </c>
      <c r="AH48" s="9" t="n">
        <v>0.0381</v>
      </c>
      <c r="AI48" s="9" t="n">
        <v>1.0935</v>
      </c>
      <c r="AJ48" s="9" t="n">
        <v>0.9145</v>
      </c>
      <c r="AK48" s="9" t="n">
        <v>66.59</v>
      </c>
    </row>
    <row r="49">
      <c r="A49" s="8" t="n">
        <v>39</v>
      </c>
      <c r="B49" s="8" t="inlineStr">
        <is>
          <t>科学城重庆高新区</t>
        </is>
      </c>
      <c r="C49" s="8" t="n">
        <v>4.32</v>
      </c>
      <c r="D49" s="8" t="n">
        <v>2.16</v>
      </c>
      <c r="E49" s="8" t="n">
        <v>5.04</v>
      </c>
      <c r="F49" s="8" t="n">
        <v>1.44</v>
      </c>
      <c r="G49" s="8" t="n">
        <v>0</v>
      </c>
      <c r="H49" s="8" t="n">
        <v>1.44</v>
      </c>
      <c r="I49" s="8" t="n">
        <v>1.44</v>
      </c>
      <c r="J49" s="8" t="n">
        <v>0</v>
      </c>
      <c r="K49" s="8" t="n">
        <v>0.72</v>
      </c>
      <c r="L49" s="8" t="n">
        <v>0</v>
      </c>
      <c r="M49" s="8" t="n">
        <v>18.71</v>
      </c>
      <c r="N49" s="8" t="n">
        <v>3.6</v>
      </c>
      <c r="O49" s="8" t="n">
        <v>18.71</v>
      </c>
      <c r="P49" s="8" t="n">
        <v>37.41</v>
      </c>
      <c r="Q49" s="8" t="n">
        <v>0</v>
      </c>
      <c r="R49" s="8" t="n">
        <v>5.04</v>
      </c>
      <c r="S49" s="8" t="n">
        <v>0.0193</v>
      </c>
      <c r="T49" s="8" t="n">
        <v>0.0409</v>
      </c>
      <c r="U49" s="8" t="n">
        <v>0.0121</v>
      </c>
      <c r="V49" s="8" t="n">
        <v>0.0481</v>
      </c>
      <c r="W49" s="8" t="n">
        <v>0.0625</v>
      </c>
      <c r="X49" s="8" t="n">
        <v>0.0481</v>
      </c>
      <c r="Y49" s="8" t="n">
        <v>0.0481</v>
      </c>
      <c r="Z49" s="8" t="n">
        <v>0.0625</v>
      </c>
      <c r="AA49" s="8" t="n">
        <v>0.0553</v>
      </c>
      <c r="AB49" s="8" t="n">
        <v>0.0625</v>
      </c>
      <c r="AC49" s="8" t="n">
        <v>0.1246</v>
      </c>
      <c r="AD49" s="8" t="n">
        <v>0.0265</v>
      </c>
      <c r="AE49" s="8" t="n">
        <v>0.1246</v>
      </c>
      <c r="AF49" s="8" t="n">
        <v>0.3116</v>
      </c>
      <c r="AG49" s="8" t="n">
        <v>0.0625</v>
      </c>
      <c r="AH49" s="8" t="n">
        <v>0.0121</v>
      </c>
      <c r="AI49" s="8" t="n">
        <v>1.1214</v>
      </c>
      <c r="AJ49" s="8" t="n">
        <v>0.8917</v>
      </c>
      <c r="AK49" s="8" t="n">
        <v>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8" customWidth="1" min="4" max="4"/>
    <col width="20" customWidth="1" min="5" max="5"/>
    <col width="18" customWidth="1" min="6" max="6"/>
  </cols>
  <sheetData>
    <row r="1">
      <c r="A1" s="5" t="inlineStr">
        <is>
          <t>衡量指标</t>
        </is>
      </c>
      <c r="B1" s="6" t="inlineStr">
        <is>
          <t>区县媒体-报道传播速度</t>
        </is>
      </c>
    </row>
    <row r="2">
      <c r="A2" s="5" t="inlineStr">
        <is>
          <t>一级权重</t>
        </is>
      </c>
      <c r="B2" s="6" t="inlineStr">
        <is>
          <t>8%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已严格收敛: 41 融媒 + 41 政务 = 82 家(政务实际无数据)</t>
        </is>
      </c>
    </row>
    <row r="5">
      <c r="A5" s="5" t="inlineStr">
        <is>
          <t>公式</t>
        </is>
      </c>
      <c r="B5" s="6" t="inlineStr">
        <is>
          <t>freq = 报道总数 / 发布天数(COUNT DISTINCT YYYY-MM-DD)</t>
        </is>
      </c>
    </row>
    <row r="6">
      <c r="A6" s="5" t="inlineStr">
        <is>
          <t>举例</t>
        </is>
      </c>
      <c r="B6" s="6" t="inlineStr">
        <is>
          <t>如某区某 tier 60 篇报道,分布在 30 个不同日期 → freq=60/30=2.0 篇/天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按速度原始值降序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报道总数</t>
        </is>
      </c>
      <c r="D10" s="7" t="inlineStr">
        <is>
          <t>发布天数</t>
        </is>
      </c>
      <c r="E10" s="7" t="inlineStr">
        <is>
          <t>速度原始 (报道/天)</t>
        </is>
      </c>
      <c r="F10" s="7" t="inlineStr">
        <is>
          <t>速度得分 (65-95)</t>
        </is>
      </c>
    </row>
    <row r="11">
      <c r="A11" s="8" t="n">
        <v>1</v>
      </c>
      <c r="B11" s="8" t="inlineStr">
        <is>
          <t>城口县</t>
        </is>
      </c>
      <c r="C11" s="8" t="n">
        <v>268</v>
      </c>
      <c r="D11" s="8" t="n">
        <v>109</v>
      </c>
      <c r="E11" s="8" t="n">
        <v>2.4587</v>
      </c>
      <c r="F11" s="8" t="n">
        <v>95</v>
      </c>
    </row>
    <row r="12">
      <c r="A12" s="9" t="n">
        <v>2</v>
      </c>
      <c r="B12" s="9" t="inlineStr">
        <is>
          <t>江津区</t>
        </is>
      </c>
      <c r="C12" s="9" t="n">
        <v>196</v>
      </c>
      <c r="D12" s="9" t="n">
        <v>80</v>
      </c>
      <c r="E12" s="9" t="n">
        <v>2.45</v>
      </c>
      <c r="F12" s="9" t="n">
        <v>94.77</v>
      </c>
    </row>
    <row r="13">
      <c r="A13" s="8" t="n">
        <v>3</v>
      </c>
      <c r="B13" s="8" t="inlineStr">
        <is>
          <t>渝中区</t>
        </is>
      </c>
      <c r="C13" s="8" t="n">
        <v>231</v>
      </c>
      <c r="D13" s="8" t="n">
        <v>96</v>
      </c>
      <c r="E13" s="8" t="n">
        <v>2.4062</v>
      </c>
      <c r="F13" s="8" t="n">
        <v>93.59</v>
      </c>
    </row>
    <row r="14">
      <c r="A14" s="9" t="n">
        <v>4</v>
      </c>
      <c r="B14" s="9" t="inlineStr">
        <is>
          <t>酉阳县</t>
        </is>
      </c>
      <c r="C14" s="9" t="n">
        <v>182</v>
      </c>
      <c r="D14" s="9" t="n">
        <v>76</v>
      </c>
      <c r="E14" s="9" t="n">
        <v>2.3947</v>
      </c>
      <c r="F14" s="9" t="n">
        <v>93.29000000000001</v>
      </c>
    </row>
    <row r="15">
      <c r="A15" s="8" t="n">
        <v>5</v>
      </c>
      <c r="B15" s="8" t="inlineStr">
        <is>
          <t>黔江区</t>
        </is>
      </c>
      <c r="C15" s="8" t="n">
        <v>192</v>
      </c>
      <c r="D15" s="8" t="n">
        <v>81</v>
      </c>
      <c r="E15" s="8" t="n">
        <v>2.3704</v>
      </c>
      <c r="F15" s="8" t="n">
        <v>92.63</v>
      </c>
    </row>
    <row r="16">
      <c r="A16" s="9" t="n">
        <v>6</v>
      </c>
      <c r="B16" s="9" t="inlineStr">
        <is>
          <t>巫溪县</t>
        </is>
      </c>
      <c r="C16" s="9" t="n">
        <v>264</v>
      </c>
      <c r="D16" s="9" t="n">
        <v>116</v>
      </c>
      <c r="E16" s="9" t="n">
        <v>2.2759</v>
      </c>
      <c r="F16" s="9" t="n">
        <v>90.09999999999999</v>
      </c>
    </row>
    <row r="17">
      <c r="A17" s="8" t="n">
        <v>7</v>
      </c>
      <c r="B17" s="8" t="inlineStr">
        <is>
          <t>石柱县</t>
        </is>
      </c>
      <c r="C17" s="8" t="n">
        <v>236</v>
      </c>
      <c r="D17" s="8" t="n">
        <v>107</v>
      </c>
      <c r="E17" s="8" t="n">
        <v>2.2056</v>
      </c>
      <c r="F17" s="8" t="n">
        <v>88.22</v>
      </c>
    </row>
    <row r="18">
      <c r="A18" s="9" t="n">
        <v>8</v>
      </c>
      <c r="B18" s="9" t="inlineStr">
        <is>
          <t>大足区</t>
        </is>
      </c>
      <c r="C18" s="9" t="n">
        <v>132</v>
      </c>
      <c r="D18" s="9" t="n">
        <v>61</v>
      </c>
      <c r="E18" s="9" t="n">
        <v>2.1639</v>
      </c>
      <c r="F18" s="9" t="n">
        <v>87.09999999999999</v>
      </c>
    </row>
    <row r="19">
      <c r="A19" s="8" t="n">
        <v>9</v>
      </c>
      <c r="B19" s="8" t="inlineStr">
        <is>
          <t>武隆区</t>
        </is>
      </c>
      <c r="C19" s="8" t="n">
        <v>220</v>
      </c>
      <c r="D19" s="8" t="n">
        <v>102</v>
      </c>
      <c r="E19" s="8" t="n">
        <v>2.1569</v>
      </c>
      <c r="F19" s="8" t="n">
        <v>86.91</v>
      </c>
    </row>
    <row r="20">
      <c r="A20" s="9" t="n">
        <v>10</v>
      </c>
      <c r="B20" s="9" t="inlineStr">
        <is>
          <t>奉节县</t>
        </is>
      </c>
      <c r="C20" s="9" t="n">
        <v>207</v>
      </c>
      <c r="D20" s="9" t="n">
        <v>97</v>
      </c>
      <c r="E20" s="9" t="n">
        <v>2.134</v>
      </c>
      <c r="F20" s="9" t="n">
        <v>86.3</v>
      </c>
    </row>
    <row r="21">
      <c r="A21" s="8" t="n">
        <v>11</v>
      </c>
      <c r="B21" s="8" t="inlineStr">
        <is>
          <t>万盛经开区</t>
        </is>
      </c>
      <c r="C21" s="8" t="n">
        <v>200</v>
      </c>
      <c r="D21" s="8" t="n">
        <v>96</v>
      </c>
      <c r="E21" s="8" t="n">
        <v>2.0833</v>
      </c>
      <c r="F21" s="8" t="n">
        <v>84.95</v>
      </c>
    </row>
    <row r="22">
      <c r="A22" s="9" t="n">
        <v>12</v>
      </c>
      <c r="B22" s="9" t="inlineStr">
        <is>
          <t>彭水县</t>
        </is>
      </c>
      <c r="C22" s="9" t="n">
        <v>234</v>
      </c>
      <c r="D22" s="9" t="n">
        <v>113</v>
      </c>
      <c r="E22" s="9" t="n">
        <v>2.0708</v>
      </c>
      <c r="F22" s="9" t="n">
        <v>84.61</v>
      </c>
    </row>
    <row r="23">
      <c r="A23" s="8" t="n">
        <v>13</v>
      </c>
      <c r="B23" s="8" t="inlineStr">
        <is>
          <t>九龙坡区</t>
        </is>
      </c>
      <c r="C23" s="8" t="n">
        <v>180</v>
      </c>
      <c r="D23" s="8" t="n">
        <v>89</v>
      </c>
      <c r="E23" s="8" t="n">
        <v>2.0225</v>
      </c>
      <c r="F23" s="8" t="n">
        <v>83.31</v>
      </c>
    </row>
    <row r="24">
      <c r="A24" s="9" t="n">
        <v>14</v>
      </c>
      <c r="B24" s="9" t="inlineStr">
        <is>
          <t>巴南区</t>
        </is>
      </c>
      <c r="C24" s="9" t="n">
        <v>119</v>
      </c>
      <c r="D24" s="9" t="n">
        <v>59</v>
      </c>
      <c r="E24" s="9" t="n">
        <v>2.0169</v>
      </c>
      <c r="F24" s="9" t="n">
        <v>83.17</v>
      </c>
    </row>
    <row r="25">
      <c r="A25" s="8" t="n">
        <v>15</v>
      </c>
      <c r="B25" s="8" t="inlineStr">
        <is>
          <t>南岸区</t>
        </is>
      </c>
      <c r="C25" s="8" t="n">
        <v>154</v>
      </c>
      <c r="D25" s="8" t="n">
        <v>78</v>
      </c>
      <c r="E25" s="8" t="n">
        <v>1.9744</v>
      </c>
      <c r="F25" s="8" t="n">
        <v>82.03</v>
      </c>
    </row>
    <row r="26">
      <c r="A26" s="9" t="n">
        <v>16</v>
      </c>
      <c r="B26" s="9" t="inlineStr">
        <is>
          <t>万州区</t>
        </is>
      </c>
      <c r="C26" s="9" t="n">
        <v>126</v>
      </c>
      <c r="D26" s="9" t="n">
        <v>64</v>
      </c>
      <c r="E26" s="9" t="n">
        <v>1.9688</v>
      </c>
      <c r="F26" s="9" t="n">
        <v>81.88</v>
      </c>
    </row>
    <row r="27">
      <c r="A27" s="8" t="n">
        <v>17</v>
      </c>
      <c r="B27" s="8" t="inlineStr">
        <is>
          <t>涪陵区</t>
        </is>
      </c>
      <c r="C27" s="8" t="n">
        <v>226</v>
      </c>
      <c r="D27" s="8" t="n">
        <v>115</v>
      </c>
      <c r="E27" s="8" t="n">
        <v>1.9652</v>
      </c>
      <c r="F27" s="8" t="n">
        <v>81.78</v>
      </c>
    </row>
    <row r="28">
      <c r="A28" s="9" t="n">
        <v>18</v>
      </c>
      <c r="B28" s="9" t="inlineStr">
        <is>
          <t>巫山县</t>
        </is>
      </c>
      <c r="C28" s="9" t="n">
        <v>196</v>
      </c>
      <c r="D28" s="9" t="n">
        <v>102</v>
      </c>
      <c r="E28" s="9" t="n">
        <v>1.9216</v>
      </c>
      <c r="F28" s="9" t="n">
        <v>80.61</v>
      </c>
    </row>
    <row r="29">
      <c r="A29" s="8" t="n">
        <v>19</v>
      </c>
      <c r="B29" s="8" t="inlineStr">
        <is>
          <t>两江新区</t>
        </is>
      </c>
      <c r="C29" s="8" t="n">
        <v>190</v>
      </c>
      <c r="D29" s="8" t="n">
        <v>100</v>
      </c>
      <c r="E29" s="8" t="n">
        <v>1.9</v>
      </c>
      <c r="F29" s="8" t="n">
        <v>80.03</v>
      </c>
    </row>
    <row r="30">
      <c r="A30" s="9" t="n">
        <v>20</v>
      </c>
      <c r="B30" s="9" t="inlineStr">
        <is>
          <t>垫江县</t>
        </is>
      </c>
      <c r="C30" s="9" t="n">
        <v>162</v>
      </c>
      <c r="D30" s="9" t="n">
        <v>86</v>
      </c>
      <c r="E30" s="9" t="n">
        <v>1.8837</v>
      </c>
      <c r="F30" s="9" t="n">
        <v>79.59999999999999</v>
      </c>
    </row>
    <row r="31">
      <c r="A31" s="8" t="n">
        <v>21</v>
      </c>
      <c r="B31" s="8" t="inlineStr">
        <is>
          <t>南川区</t>
        </is>
      </c>
      <c r="C31" s="8" t="n">
        <v>143</v>
      </c>
      <c r="D31" s="8" t="n">
        <v>76</v>
      </c>
      <c r="E31" s="8" t="n">
        <v>1.8816</v>
      </c>
      <c r="F31" s="8" t="n">
        <v>79.54000000000001</v>
      </c>
    </row>
    <row r="32">
      <c r="A32" s="9" t="n">
        <v>22</v>
      </c>
      <c r="B32" s="9" t="inlineStr">
        <is>
          <t>长寿区</t>
        </is>
      </c>
      <c r="C32" s="9" t="n">
        <v>154</v>
      </c>
      <c r="D32" s="9" t="n">
        <v>83</v>
      </c>
      <c r="E32" s="9" t="n">
        <v>1.8554</v>
      </c>
      <c r="F32" s="9" t="n">
        <v>78.84</v>
      </c>
    </row>
    <row r="33">
      <c r="A33" s="8" t="n">
        <v>23</v>
      </c>
      <c r="B33" s="8" t="inlineStr">
        <is>
          <t>璧山区</t>
        </is>
      </c>
      <c r="C33" s="8" t="n">
        <v>126</v>
      </c>
      <c r="D33" s="8" t="n">
        <v>68</v>
      </c>
      <c r="E33" s="8" t="n">
        <v>1.8529</v>
      </c>
      <c r="F33" s="8" t="n">
        <v>78.77</v>
      </c>
    </row>
    <row r="34">
      <c r="A34" s="9" t="n">
        <v>24</v>
      </c>
      <c r="B34" s="9" t="inlineStr">
        <is>
          <t>沙坪坝区</t>
        </is>
      </c>
      <c r="C34" s="9" t="n">
        <v>129</v>
      </c>
      <c r="D34" s="9" t="n">
        <v>70</v>
      </c>
      <c r="E34" s="9" t="n">
        <v>1.8429</v>
      </c>
      <c r="F34" s="9" t="n">
        <v>78.5</v>
      </c>
    </row>
    <row r="35">
      <c r="A35" s="8" t="n">
        <v>25</v>
      </c>
      <c r="B35" s="8" t="inlineStr">
        <is>
          <t>合川区</t>
        </is>
      </c>
      <c r="C35" s="8" t="n">
        <v>130</v>
      </c>
      <c r="D35" s="8" t="n">
        <v>71</v>
      </c>
      <c r="E35" s="8" t="n">
        <v>1.831</v>
      </c>
      <c r="F35" s="8" t="n">
        <v>78.19</v>
      </c>
    </row>
    <row r="36">
      <c r="A36" s="9" t="n">
        <v>26</v>
      </c>
      <c r="B36" s="9" t="inlineStr">
        <is>
          <t>荣昌区</t>
        </is>
      </c>
      <c r="C36" s="9" t="n">
        <v>93</v>
      </c>
      <c r="D36" s="9" t="n">
        <v>51</v>
      </c>
      <c r="E36" s="9" t="n">
        <v>1.8235</v>
      </c>
      <c r="F36" s="9" t="n">
        <v>77.98999999999999</v>
      </c>
    </row>
    <row r="37">
      <c r="A37" s="8" t="n">
        <v>27</v>
      </c>
      <c r="B37" s="8" t="inlineStr">
        <is>
          <t>永川区</t>
        </is>
      </c>
      <c r="C37" s="8" t="n">
        <v>157</v>
      </c>
      <c r="D37" s="8" t="n">
        <v>89</v>
      </c>
      <c r="E37" s="8" t="n">
        <v>1.764</v>
      </c>
      <c r="F37" s="8" t="n">
        <v>76.39</v>
      </c>
    </row>
    <row r="38">
      <c r="A38" s="9" t="n">
        <v>28</v>
      </c>
      <c r="B38" s="9" t="inlineStr">
        <is>
          <t>铜梁区</t>
        </is>
      </c>
      <c r="C38" s="9" t="n">
        <v>106</v>
      </c>
      <c r="D38" s="9" t="n">
        <v>61</v>
      </c>
      <c r="E38" s="9" t="n">
        <v>1.7377</v>
      </c>
      <c r="F38" s="9" t="n">
        <v>75.69</v>
      </c>
    </row>
    <row r="39">
      <c r="A39" s="8" t="n">
        <v>29</v>
      </c>
      <c r="B39" s="8" t="inlineStr">
        <is>
          <t>綦江区</t>
        </is>
      </c>
      <c r="C39" s="8" t="n">
        <v>125</v>
      </c>
      <c r="D39" s="8" t="n">
        <v>72</v>
      </c>
      <c r="E39" s="8" t="n">
        <v>1.7361</v>
      </c>
      <c r="F39" s="8" t="n">
        <v>75.64</v>
      </c>
    </row>
    <row r="40">
      <c r="A40" s="9" t="n">
        <v>30</v>
      </c>
      <c r="B40" s="9" t="inlineStr">
        <is>
          <t>开州区</t>
        </is>
      </c>
      <c r="C40" s="9" t="n">
        <v>102</v>
      </c>
      <c r="D40" s="9" t="n">
        <v>61</v>
      </c>
      <c r="E40" s="9" t="n">
        <v>1.6721</v>
      </c>
      <c r="F40" s="9" t="n">
        <v>73.93000000000001</v>
      </c>
    </row>
    <row r="41">
      <c r="A41" s="8" t="n">
        <v>31</v>
      </c>
      <c r="B41" s="8" t="inlineStr">
        <is>
          <t>云阳县</t>
        </is>
      </c>
      <c r="C41" s="8" t="n">
        <v>149</v>
      </c>
      <c r="D41" s="8" t="n">
        <v>91</v>
      </c>
      <c r="E41" s="8" t="n">
        <v>1.6374</v>
      </c>
      <c r="F41" s="8" t="n">
        <v>73</v>
      </c>
    </row>
    <row r="42">
      <c r="A42" s="9" t="n">
        <v>32</v>
      </c>
      <c r="B42" s="9" t="inlineStr">
        <is>
          <t>梁平区</t>
        </is>
      </c>
      <c r="C42" s="9" t="n">
        <v>87</v>
      </c>
      <c r="D42" s="9" t="n">
        <v>54</v>
      </c>
      <c r="E42" s="9" t="n">
        <v>1.6111</v>
      </c>
      <c r="F42" s="9" t="n">
        <v>72.3</v>
      </c>
    </row>
    <row r="43">
      <c r="A43" s="8" t="n">
        <v>33</v>
      </c>
      <c r="B43" s="8" t="inlineStr">
        <is>
          <t>大渡口区</t>
        </is>
      </c>
      <c r="C43" s="8" t="n">
        <v>130</v>
      </c>
      <c r="D43" s="8" t="n">
        <v>81</v>
      </c>
      <c r="E43" s="8" t="n">
        <v>1.6049</v>
      </c>
      <c r="F43" s="8" t="n">
        <v>72.13</v>
      </c>
    </row>
    <row r="44">
      <c r="A44" s="9" t="n">
        <v>34</v>
      </c>
      <c r="B44" s="9" t="inlineStr">
        <is>
          <t>忠县</t>
        </is>
      </c>
      <c r="C44" s="9" t="n">
        <v>143</v>
      </c>
      <c r="D44" s="9" t="n">
        <v>90</v>
      </c>
      <c r="E44" s="9" t="n">
        <v>1.5889</v>
      </c>
      <c r="F44" s="9" t="n">
        <v>71.7</v>
      </c>
    </row>
    <row r="45">
      <c r="A45" s="8" t="n">
        <v>35</v>
      </c>
      <c r="B45" s="8" t="inlineStr">
        <is>
          <t>科学城重庆高新区</t>
        </is>
      </c>
      <c r="C45" s="8" t="n">
        <v>96</v>
      </c>
      <c r="D45" s="8" t="n">
        <v>61</v>
      </c>
      <c r="E45" s="8" t="n">
        <v>1.5738</v>
      </c>
      <c r="F45" s="8" t="n">
        <v>71.3</v>
      </c>
    </row>
    <row r="46">
      <c r="A46" s="9" t="n">
        <v>36</v>
      </c>
      <c r="B46" s="9" t="inlineStr">
        <is>
          <t>秀山县</t>
        </is>
      </c>
      <c r="C46" s="9" t="n">
        <v>93</v>
      </c>
      <c r="D46" s="9" t="n">
        <v>60</v>
      </c>
      <c r="E46" s="9" t="n">
        <v>1.55</v>
      </c>
      <c r="F46" s="9" t="n">
        <v>70.66</v>
      </c>
    </row>
    <row r="47">
      <c r="A47" s="8" t="n">
        <v>37</v>
      </c>
      <c r="B47" s="8" t="inlineStr">
        <is>
          <t>北碚区</t>
        </is>
      </c>
      <c r="C47" s="8" t="n">
        <v>82</v>
      </c>
      <c r="D47" s="8" t="n">
        <v>54</v>
      </c>
      <c r="E47" s="8" t="n">
        <v>1.5185</v>
      </c>
      <c r="F47" s="8" t="n">
        <v>69.81999999999999</v>
      </c>
    </row>
    <row r="48">
      <c r="A48" s="9" t="n">
        <v>38</v>
      </c>
      <c r="B48" s="9" t="inlineStr">
        <is>
          <t>丰都县</t>
        </is>
      </c>
      <c r="C48" s="9" t="n">
        <v>117</v>
      </c>
      <c r="D48" s="9" t="n">
        <v>82</v>
      </c>
      <c r="E48" s="9" t="n">
        <v>1.4268</v>
      </c>
      <c r="F48" s="9" t="n">
        <v>67.36</v>
      </c>
    </row>
    <row r="49">
      <c r="A49" s="8" t="n">
        <v>39</v>
      </c>
      <c r="B49" s="8" t="inlineStr">
        <is>
          <t>潼南区</t>
        </is>
      </c>
      <c r="C49" s="8" t="n">
        <v>83</v>
      </c>
      <c r="D49" s="8" t="n">
        <v>62</v>
      </c>
      <c r="E49" s="8" t="n">
        <v>1.3387</v>
      </c>
      <c r="F49" s="8" t="n">
        <v>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>
      <c r="A1" s="5" t="inlineStr">
        <is>
          <t>衡量指标</t>
        </is>
      </c>
      <c r="B1" s="6" t="inlineStr">
        <is>
          <t>公众行为引导-活动数量</t>
        </is>
      </c>
    </row>
    <row r="2">
      <c r="A2" s="5" t="inlineStr">
        <is>
          <t>一级权重</t>
        </is>
      </c>
      <c r="B2" s="6" t="inlineStr">
        <is>
          <t>7%</t>
        </is>
      </c>
    </row>
    <row r="3">
      <c r="A3" s="5" t="inlineStr">
        <is>
          <t>二级权重</t>
        </is>
      </c>
      <c r="B3" s="6" t="inlineStr">
        <is>
          <t>40%</t>
        </is>
      </c>
    </row>
    <row r="4">
      <c r="A4" s="5" t="inlineStr">
        <is>
          <t>数据源</t>
        </is>
      </c>
      <c r="B4" s="6" t="inlineStr">
        <is>
          <t>客户 Excel /Users/zhuyu/Downloads/副本2025年线下生态宣传活动统计表(1).xlsx 第 5-43 行</t>
        </is>
      </c>
    </row>
    <row r="5">
      <c r="A5" s="5" t="inlineStr">
        <is>
          <t>原始值</t>
        </is>
      </c>
      <c r="B5" s="6" t="inlineStr">
        <is>
          <t>5 主题场数之和 = 活动总数</t>
        </is>
      </c>
    </row>
    <row r="6">
      <c r="A6" s="5" t="inlineStr">
        <is>
          <t>区间化</t>
        </is>
      </c>
      <c r="B6" s="6" t="inlineStr">
        <is>
          <t>min-max → [65, 95]</t>
        </is>
      </c>
    </row>
    <row r="7">
      <c r="A7" s="5" t="inlineStr">
        <is>
          <t>排序</t>
        </is>
      </c>
      <c r="B7" s="6" t="inlineStr">
        <is>
          <t>按活动总数降序</t>
        </is>
      </c>
    </row>
    <row r="9">
      <c r="A9" s="7" t="inlineStr">
        <is>
          <t>排名</t>
        </is>
      </c>
      <c r="B9" s="7" t="inlineStr">
        <is>
          <t>区县</t>
        </is>
      </c>
      <c r="C9" s="7" t="inlineStr">
        <is>
          <t>六五环境日</t>
        </is>
      </c>
      <c r="D9" s="7" t="inlineStr">
        <is>
          <t>815全国生态日</t>
        </is>
      </c>
      <c r="E9" s="7" t="inlineStr">
        <is>
          <t>志愿服务活动</t>
        </is>
      </c>
      <c r="F9" s="7" t="inlineStr">
        <is>
          <t>环保设施向公众开放</t>
        </is>
      </c>
      <c r="G9" s="7" t="inlineStr">
        <is>
          <t>美丽重庆六进活动</t>
        </is>
      </c>
      <c r="H9" s="7" t="inlineStr">
        <is>
          <t>活动总数 (原始)</t>
        </is>
      </c>
      <c r="I9" s="7" t="inlineStr">
        <is>
          <t>数量得分 (65-95)</t>
        </is>
      </c>
    </row>
    <row r="10">
      <c r="A10" s="8" t="n">
        <v>1</v>
      </c>
      <c r="B10" s="8" t="inlineStr">
        <is>
          <t>綦江区</t>
        </is>
      </c>
      <c r="C10" s="8" t="n">
        <v>22</v>
      </c>
      <c r="D10" s="8" t="n">
        <v>36</v>
      </c>
      <c r="E10" s="8" t="n">
        <v>989</v>
      </c>
      <c r="F10" s="8" t="n">
        <v>9</v>
      </c>
      <c r="G10" s="8" t="n">
        <v>1357</v>
      </c>
      <c r="H10" s="8" t="n">
        <v>2413</v>
      </c>
      <c r="I10" s="8" t="n">
        <v>95</v>
      </c>
    </row>
    <row r="11">
      <c r="A11" s="9" t="n">
        <v>2</v>
      </c>
      <c r="B11" s="9" t="inlineStr">
        <is>
          <t>北碚区</t>
        </is>
      </c>
      <c r="C11" s="9" t="n">
        <v>3</v>
      </c>
      <c r="D11" s="9" t="n">
        <v>3</v>
      </c>
      <c r="E11" s="9" t="n">
        <v>1426</v>
      </c>
      <c r="F11" s="9" t="n">
        <v>6</v>
      </c>
      <c r="G11" s="9" t="n">
        <v>9</v>
      </c>
      <c r="H11" s="9" t="n">
        <v>1447</v>
      </c>
      <c r="I11" s="9" t="n">
        <v>82.97</v>
      </c>
    </row>
    <row r="12">
      <c r="A12" s="8" t="n">
        <v>3</v>
      </c>
      <c r="B12" s="8" t="inlineStr">
        <is>
          <t>大足区</t>
        </is>
      </c>
      <c r="C12" s="8" t="n">
        <v>48</v>
      </c>
      <c r="D12" s="8" t="n">
        <v>1</v>
      </c>
      <c r="E12" s="8" t="n">
        <v>40</v>
      </c>
      <c r="F12" s="8" t="n">
        <v>3</v>
      </c>
      <c r="G12" s="8" t="n">
        <v>56</v>
      </c>
      <c r="H12" s="8" t="n">
        <v>148</v>
      </c>
      <c r="I12" s="8" t="n">
        <v>66.79000000000001</v>
      </c>
    </row>
    <row r="13">
      <c r="A13" s="9" t="n">
        <v>4</v>
      </c>
      <c r="B13" s="9" t="inlineStr">
        <is>
          <t>南川区</t>
        </is>
      </c>
      <c r="C13" s="9" t="n">
        <v>39</v>
      </c>
      <c r="D13" s="9" t="n">
        <v>2</v>
      </c>
      <c r="E13" s="9" t="n">
        <v>34</v>
      </c>
      <c r="F13" s="9" t="n">
        <v>6</v>
      </c>
      <c r="G13" s="9" t="n">
        <v>55</v>
      </c>
      <c r="H13" s="9" t="n">
        <v>136</v>
      </c>
      <c r="I13" s="9" t="n">
        <v>66.64</v>
      </c>
    </row>
    <row r="14">
      <c r="A14" s="8" t="n">
        <v>5</v>
      </c>
      <c r="B14" s="8" t="inlineStr">
        <is>
          <t>两江新区</t>
        </is>
      </c>
      <c r="C14" s="8" t="n">
        <v>5</v>
      </c>
      <c r="D14" s="8" t="n">
        <v>5</v>
      </c>
      <c r="E14" s="8" t="n">
        <v>78</v>
      </c>
      <c r="F14" s="8" t="n">
        <v>24</v>
      </c>
      <c r="G14" s="8" t="n">
        <v>8</v>
      </c>
      <c r="H14" s="8" t="n">
        <v>120</v>
      </c>
      <c r="I14" s="8" t="n">
        <v>66.44</v>
      </c>
    </row>
    <row r="15">
      <c r="A15" s="9" t="n">
        <v>6</v>
      </c>
      <c r="B15" s="9" t="inlineStr">
        <is>
          <t>渝中区</t>
        </is>
      </c>
      <c r="C15" s="9" t="n">
        <v>5</v>
      </c>
      <c r="D15" s="9" t="n">
        <v>2</v>
      </c>
      <c r="E15" s="9" t="n">
        <v>11</v>
      </c>
      <c r="F15" s="9" t="n">
        <v>28</v>
      </c>
      <c r="G15" s="9" t="n">
        <v>42</v>
      </c>
      <c r="H15" s="9" t="n">
        <v>88</v>
      </c>
      <c r="I15" s="9" t="n">
        <v>66.05</v>
      </c>
    </row>
    <row r="16">
      <c r="A16" s="8" t="n">
        <v>7</v>
      </c>
      <c r="B16" s="8" t="inlineStr">
        <is>
          <t>酉阳县</t>
        </is>
      </c>
      <c r="C16" s="8" t="n">
        <v>42</v>
      </c>
      <c r="D16" s="8" t="n">
        <v>3</v>
      </c>
      <c r="E16" s="8" t="n">
        <v>20</v>
      </c>
      <c r="F16" s="8" t="n">
        <v>4</v>
      </c>
      <c r="G16" s="8" t="n">
        <v>14</v>
      </c>
      <c r="H16" s="8" t="n">
        <v>83</v>
      </c>
      <c r="I16" s="8" t="n">
        <v>65.98</v>
      </c>
    </row>
    <row r="17">
      <c r="A17" s="9" t="n">
        <v>8</v>
      </c>
      <c r="B17" s="9" t="inlineStr">
        <is>
          <t>涪陵区</t>
        </is>
      </c>
      <c r="C17" s="9" t="n">
        <v>7</v>
      </c>
      <c r="D17" s="9" t="n">
        <v>2</v>
      </c>
      <c r="E17" s="9" t="n">
        <v>12</v>
      </c>
      <c r="F17" s="9" t="n">
        <v>37</v>
      </c>
      <c r="G17" s="9" t="n">
        <v>17</v>
      </c>
      <c r="H17" s="9" t="n">
        <v>75</v>
      </c>
      <c r="I17" s="9" t="n">
        <v>65.88</v>
      </c>
    </row>
    <row r="18">
      <c r="A18" s="8" t="n">
        <v>9</v>
      </c>
      <c r="B18" s="8" t="inlineStr">
        <is>
          <t>铜梁区</t>
        </is>
      </c>
      <c r="C18" s="8" t="n">
        <v>3</v>
      </c>
      <c r="D18" s="8" t="n">
        <v>1</v>
      </c>
      <c r="E18" s="8" t="n">
        <v>6</v>
      </c>
      <c r="F18" s="8" t="n">
        <v>36</v>
      </c>
      <c r="G18" s="8" t="n">
        <v>28</v>
      </c>
      <c r="H18" s="8" t="n">
        <v>74</v>
      </c>
      <c r="I18" s="8" t="n">
        <v>65.87</v>
      </c>
    </row>
    <row r="19">
      <c r="A19" s="9" t="n">
        <v>10</v>
      </c>
      <c r="B19" s="9" t="inlineStr">
        <is>
          <t>合川区</t>
        </is>
      </c>
      <c r="C19" s="9" t="n">
        <v>34</v>
      </c>
      <c r="D19" s="9" t="n">
        <v>1</v>
      </c>
      <c r="E19" s="9" t="n">
        <v>6</v>
      </c>
      <c r="F19" s="9" t="n">
        <v>6</v>
      </c>
      <c r="G19" s="9" t="n">
        <v>24</v>
      </c>
      <c r="H19" s="9" t="n">
        <v>71</v>
      </c>
      <c r="I19" s="9" t="n">
        <v>65.83</v>
      </c>
    </row>
    <row r="20">
      <c r="A20" s="8" t="n">
        <v>11</v>
      </c>
      <c r="B20" s="8" t="inlineStr">
        <is>
          <t>彭水县</t>
        </is>
      </c>
      <c r="C20" s="8" t="n">
        <v>1</v>
      </c>
      <c r="D20" s="8" t="n">
        <v>0</v>
      </c>
      <c r="E20" s="8" t="n">
        <v>37</v>
      </c>
      <c r="F20" s="8" t="n">
        <v>11</v>
      </c>
      <c r="G20" s="8" t="n">
        <v>0</v>
      </c>
      <c r="H20" s="8" t="n">
        <v>49</v>
      </c>
      <c r="I20" s="8" t="n">
        <v>65.56</v>
      </c>
    </row>
    <row r="21">
      <c r="A21" s="9" t="n">
        <v>12</v>
      </c>
      <c r="B21" s="9" t="inlineStr">
        <is>
          <t>垫江县</t>
        </is>
      </c>
      <c r="C21" s="9" t="n">
        <v>28</v>
      </c>
      <c r="D21" s="9" t="n">
        <v>1</v>
      </c>
      <c r="E21" s="9" t="n">
        <v>8</v>
      </c>
      <c r="F21" s="9" t="n">
        <v>8</v>
      </c>
      <c r="G21" s="9" t="n">
        <v>3</v>
      </c>
      <c r="H21" s="9" t="n">
        <v>48</v>
      </c>
      <c r="I21" s="9" t="n">
        <v>65.55</v>
      </c>
    </row>
    <row r="22">
      <c r="A22" s="8" t="n">
        <v>13</v>
      </c>
      <c r="B22" s="8" t="inlineStr">
        <is>
          <t>秀山县</t>
        </is>
      </c>
      <c r="C22" s="8" t="n">
        <v>6</v>
      </c>
      <c r="D22" s="8" t="n">
        <v>1</v>
      </c>
      <c r="E22" s="8" t="n">
        <v>18</v>
      </c>
      <c r="F22" s="8" t="n">
        <v>8</v>
      </c>
      <c r="G22" s="8" t="n">
        <v>14</v>
      </c>
      <c r="H22" s="8" t="n">
        <v>47</v>
      </c>
      <c r="I22" s="8" t="n">
        <v>65.54000000000001</v>
      </c>
    </row>
    <row r="23">
      <c r="A23" s="9" t="n">
        <v>14</v>
      </c>
      <c r="B23" s="9" t="inlineStr">
        <is>
          <t>城口县</t>
        </is>
      </c>
      <c r="C23" s="9" t="n">
        <v>1</v>
      </c>
      <c r="D23" s="9" t="n">
        <v>1</v>
      </c>
      <c r="E23" s="9" t="n">
        <v>30</v>
      </c>
      <c r="F23" s="9" t="n">
        <v>6</v>
      </c>
      <c r="G23" s="9" t="n">
        <v>6</v>
      </c>
      <c r="H23" s="9" t="n">
        <v>44</v>
      </c>
      <c r="I23" s="9" t="n">
        <v>65.5</v>
      </c>
    </row>
    <row r="24">
      <c r="A24" s="8" t="n">
        <v>15</v>
      </c>
      <c r="B24" s="8" t="inlineStr">
        <is>
          <t>沙坪坝区</t>
        </is>
      </c>
      <c r="C24" s="8" t="n">
        <v>19</v>
      </c>
      <c r="D24" s="8" t="n">
        <v>1</v>
      </c>
      <c r="E24" s="8" t="n">
        <v>12</v>
      </c>
      <c r="F24" s="8" t="n">
        <v>6</v>
      </c>
      <c r="G24" s="8" t="n">
        <v>6</v>
      </c>
      <c r="H24" s="8" t="n">
        <v>44</v>
      </c>
      <c r="I24" s="8" t="n">
        <v>65.5</v>
      </c>
    </row>
    <row r="25">
      <c r="A25" s="9" t="n">
        <v>16</v>
      </c>
      <c r="B25" s="9" t="inlineStr">
        <is>
          <t>黔江区</t>
        </is>
      </c>
      <c r="C25" s="9" t="n">
        <v>1</v>
      </c>
      <c r="D25" s="9" t="n">
        <v>1</v>
      </c>
      <c r="E25" s="9" t="n">
        <v>18</v>
      </c>
      <c r="F25" s="9" t="n">
        <v>18</v>
      </c>
      <c r="G25" s="9" t="n">
        <v>5</v>
      </c>
      <c r="H25" s="9" t="n">
        <v>43</v>
      </c>
      <c r="I25" s="9" t="n">
        <v>65.48999999999999</v>
      </c>
    </row>
    <row r="26">
      <c r="A26" s="8" t="n">
        <v>17</v>
      </c>
      <c r="B26" s="8" t="inlineStr">
        <is>
          <t>石柱县</t>
        </is>
      </c>
      <c r="C26" s="8" t="n">
        <v>4</v>
      </c>
      <c r="D26" s="8" t="n">
        <v>2</v>
      </c>
      <c r="E26" s="8" t="n">
        <v>10</v>
      </c>
      <c r="F26" s="8" t="n">
        <v>6</v>
      </c>
      <c r="G26" s="8" t="n">
        <v>17</v>
      </c>
      <c r="H26" s="8" t="n">
        <v>39</v>
      </c>
      <c r="I26" s="8" t="n">
        <v>65.44</v>
      </c>
    </row>
    <row r="27">
      <c r="A27" s="9" t="n">
        <v>18</v>
      </c>
      <c r="B27" s="9" t="inlineStr">
        <is>
          <t>巫溪县</t>
        </is>
      </c>
      <c r="C27" s="9" t="n">
        <v>1</v>
      </c>
      <c r="D27" s="9" t="n">
        <v>0</v>
      </c>
      <c r="E27" s="9" t="n">
        <v>12</v>
      </c>
      <c r="F27" s="9" t="n">
        <v>6</v>
      </c>
      <c r="G27" s="9" t="n">
        <v>19</v>
      </c>
      <c r="H27" s="9" t="n">
        <v>38</v>
      </c>
      <c r="I27" s="9" t="n">
        <v>65.42</v>
      </c>
    </row>
    <row r="28">
      <c r="A28" s="8" t="n">
        <v>19</v>
      </c>
      <c r="B28" s="8" t="inlineStr">
        <is>
          <t>永川区</t>
        </is>
      </c>
      <c r="C28" s="8" t="n">
        <v>5</v>
      </c>
      <c r="D28" s="8" t="n">
        <v>1</v>
      </c>
      <c r="E28" s="8" t="n">
        <v>10</v>
      </c>
      <c r="F28" s="8" t="n">
        <v>6</v>
      </c>
      <c r="G28" s="8" t="n">
        <v>11</v>
      </c>
      <c r="H28" s="8" t="n">
        <v>33</v>
      </c>
      <c r="I28" s="8" t="n">
        <v>65.36</v>
      </c>
    </row>
    <row r="29">
      <c r="A29" s="9" t="n">
        <v>20</v>
      </c>
      <c r="B29" s="9" t="inlineStr">
        <is>
          <t>忠县</t>
        </is>
      </c>
      <c r="C29" s="9" t="n">
        <v>1</v>
      </c>
      <c r="D29" s="9" t="n">
        <v>1</v>
      </c>
      <c r="E29" s="9" t="n">
        <v>12</v>
      </c>
      <c r="F29" s="9" t="n">
        <v>12</v>
      </c>
      <c r="G29" s="9" t="n">
        <v>6</v>
      </c>
      <c r="H29" s="9" t="n">
        <v>32</v>
      </c>
      <c r="I29" s="9" t="n">
        <v>65.34999999999999</v>
      </c>
    </row>
    <row r="30">
      <c r="A30" s="8" t="n">
        <v>21</v>
      </c>
      <c r="B30" s="8" t="inlineStr">
        <is>
          <t>南岸区</t>
        </is>
      </c>
      <c r="C30" s="8" t="n">
        <v>14</v>
      </c>
      <c r="D30" s="8" t="n">
        <v>1</v>
      </c>
      <c r="E30" s="8" t="n">
        <v>5</v>
      </c>
      <c r="F30" s="8" t="n">
        <v>9</v>
      </c>
      <c r="G30" s="8" t="n">
        <v>2</v>
      </c>
      <c r="H30" s="8" t="n">
        <v>31</v>
      </c>
      <c r="I30" s="8" t="n">
        <v>65.34</v>
      </c>
    </row>
    <row r="31">
      <c r="A31" s="9" t="n">
        <v>22</v>
      </c>
      <c r="B31" s="9" t="inlineStr">
        <is>
          <t>梁平区</t>
        </is>
      </c>
      <c r="C31" s="9" t="n">
        <v>3</v>
      </c>
      <c r="D31" s="9" t="n">
        <v>1</v>
      </c>
      <c r="E31" s="9" t="n">
        <v>10</v>
      </c>
      <c r="F31" s="9" t="n">
        <v>6</v>
      </c>
      <c r="G31" s="9" t="n">
        <v>10</v>
      </c>
      <c r="H31" s="9" t="n">
        <v>30</v>
      </c>
      <c r="I31" s="9" t="n">
        <v>65.31999999999999</v>
      </c>
    </row>
    <row r="32">
      <c r="A32" s="8" t="n">
        <v>23</v>
      </c>
      <c r="B32" s="8" t="inlineStr">
        <is>
          <t>潼南区</t>
        </is>
      </c>
      <c r="C32" s="8" t="n">
        <v>4</v>
      </c>
      <c r="D32" s="8" t="n">
        <v>1</v>
      </c>
      <c r="E32" s="8" t="n">
        <v>6</v>
      </c>
      <c r="F32" s="8" t="n">
        <v>6</v>
      </c>
      <c r="G32" s="8" t="n">
        <v>12</v>
      </c>
      <c r="H32" s="8" t="n">
        <v>29</v>
      </c>
      <c r="I32" s="8" t="n">
        <v>65.31</v>
      </c>
    </row>
    <row r="33">
      <c r="A33" s="9" t="n">
        <v>24</v>
      </c>
      <c r="B33" s="9" t="inlineStr">
        <is>
          <t>大渡口区</t>
        </is>
      </c>
      <c r="C33" s="9" t="n">
        <v>4</v>
      </c>
      <c r="D33" s="9" t="n">
        <v>1</v>
      </c>
      <c r="E33" s="9" t="n">
        <v>12</v>
      </c>
      <c r="F33" s="9" t="n">
        <v>6</v>
      </c>
      <c r="G33" s="9" t="n">
        <v>6</v>
      </c>
      <c r="H33" s="9" t="n">
        <v>29</v>
      </c>
      <c r="I33" s="9" t="n">
        <v>65.31</v>
      </c>
    </row>
    <row r="34">
      <c r="A34" s="8" t="n">
        <v>25</v>
      </c>
      <c r="B34" s="8" t="inlineStr">
        <is>
          <t>云阳县</t>
        </is>
      </c>
      <c r="C34" s="8" t="n">
        <v>2</v>
      </c>
      <c r="D34" s="8" t="n">
        <v>0</v>
      </c>
      <c r="E34" s="8" t="n">
        <v>15</v>
      </c>
      <c r="F34" s="8" t="n">
        <v>7</v>
      </c>
      <c r="G34" s="8" t="n">
        <v>4</v>
      </c>
      <c r="H34" s="8" t="n">
        <v>28</v>
      </c>
      <c r="I34" s="8" t="n">
        <v>65.3</v>
      </c>
    </row>
    <row r="35">
      <c r="A35" s="9" t="n">
        <v>26</v>
      </c>
      <c r="B35" s="9" t="inlineStr">
        <is>
          <t>万盛经开区</t>
        </is>
      </c>
      <c r="C35" s="9" t="n">
        <v>4</v>
      </c>
      <c r="D35" s="9" t="n">
        <v>2</v>
      </c>
      <c r="E35" s="9" t="n">
        <v>8</v>
      </c>
      <c r="F35" s="9" t="n">
        <v>4</v>
      </c>
      <c r="G35" s="9" t="n">
        <v>10</v>
      </c>
      <c r="H35" s="9" t="n">
        <v>28</v>
      </c>
      <c r="I35" s="9" t="n">
        <v>65.3</v>
      </c>
    </row>
    <row r="36">
      <c r="A36" s="8" t="n">
        <v>27</v>
      </c>
      <c r="B36" s="8" t="inlineStr">
        <is>
          <t>奉节县</t>
        </is>
      </c>
      <c r="C36" s="8" t="n">
        <v>2</v>
      </c>
      <c r="D36" s="8" t="n">
        <v>1</v>
      </c>
      <c r="E36" s="8" t="n">
        <v>10</v>
      </c>
      <c r="F36" s="8" t="n">
        <v>6</v>
      </c>
      <c r="G36" s="8" t="n">
        <v>7</v>
      </c>
      <c r="H36" s="8" t="n">
        <v>26</v>
      </c>
      <c r="I36" s="8" t="n">
        <v>65.27</v>
      </c>
    </row>
    <row r="37">
      <c r="A37" s="9" t="n">
        <v>28</v>
      </c>
      <c r="B37" s="9" t="inlineStr">
        <is>
          <t>丰都县</t>
        </is>
      </c>
      <c r="C37" s="9" t="n">
        <v>1</v>
      </c>
      <c r="D37" s="9" t="n">
        <v>1</v>
      </c>
      <c r="E37" s="9" t="n">
        <v>10</v>
      </c>
      <c r="F37" s="9" t="n">
        <v>6</v>
      </c>
      <c r="G37" s="9" t="n">
        <v>6</v>
      </c>
      <c r="H37" s="9" t="n">
        <v>24</v>
      </c>
      <c r="I37" s="9" t="n">
        <v>65.25</v>
      </c>
    </row>
    <row r="38">
      <c r="A38" s="8" t="n">
        <v>29</v>
      </c>
      <c r="B38" s="8" t="inlineStr">
        <is>
          <t>巴南区</t>
        </is>
      </c>
      <c r="C38" s="8" t="n">
        <v>5</v>
      </c>
      <c r="D38" s="8" t="n">
        <v>1</v>
      </c>
      <c r="E38" s="8" t="n">
        <v>5</v>
      </c>
      <c r="F38" s="8" t="n">
        <v>6</v>
      </c>
      <c r="G38" s="8" t="n">
        <v>4</v>
      </c>
      <c r="H38" s="8" t="n">
        <v>21</v>
      </c>
      <c r="I38" s="8" t="n">
        <v>65.20999999999999</v>
      </c>
    </row>
    <row r="39">
      <c r="A39" s="9" t="n">
        <v>30</v>
      </c>
      <c r="B39" s="9" t="inlineStr">
        <is>
          <t>江津区</t>
        </is>
      </c>
      <c r="C39" s="9" t="n">
        <v>2</v>
      </c>
      <c r="D39" s="9" t="n">
        <v>0</v>
      </c>
      <c r="E39" s="9" t="n">
        <v>6</v>
      </c>
      <c r="F39" s="9" t="n">
        <v>3</v>
      </c>
      <c r="G39" s="9" t="n">
        <v>10</v>
      </c>
      <c r="H39" s="9" t="n">
        <v>21</v>
      </c>
      <c r="I39" s="9" t="n">
        <v>65.20999999999999</v>
      </c>
    </row>
    <row r="40">
      <c r="A40" s="8" t="n">
        <v>31</v>
      </c>
      <c r="B40" s="8" t="inlineStr">
        <is>
          <t>巫山县</t>
        </is>
      </c>
      <c r="C40" s="8" t="n">
        <v>1</v>
      </c>
      <c r="D40" s="8" t="n">
        <v>1</v>
      </c>
      <c r="E40" s="8" t="n">
        <v>12</v>
      </c>
      <c r="F40" s="8" t="n">
        <v>2</v>
      </c>
      <c r="G40" s="8" t="n">
        <v>4</v>
      </c>
      <c r="H40" s="8" t="n">
        <v>20</v>
      </c>
      <c r="I40" s="8" t="n">
        <v>65.2</v>
      </c>
    </row>
    <row r="41">
      <c r="A41" s="9" t="n">
        <v>32</v>
      </c>
      <c r="B41" s="9" t="inlineStr">
        <is>
          <t>开州区</t>
        </is>
      </c>
      <c r="C41" s="9" t="n">
        <v>2</v>
      </c>
      <c r="D41" s="9" t="n">
        <v>1</v>
      </c>
      <c r="E41" s="9" t="n">
        <v>10</v>
      </c>
      <c r="F41" s="9" t="n">
        <v>4</v>
      </c>
      <c r="G41" s="9" t="n">
        <v>1</v>
      </c>
      <c r="H41" s="9" t="n">
        <v>18</v>
      </c>
      <c r="I41" s="9" t="n">
        <v>65.17</v>
      </c>
    </row>
    <row r="42">
      <c r="A42" s="8" t="n">
        <v>33</v>
      </c>
      <c r="B42" s="8" t="inlineStr">
        <is>
          <t>武隆区</t>
        </is>
      </c>
      <c r="C42" s="8" t="n">
        <v>5</v>
      </c>
      <c r="D42" s="8" t="n">
        <v>1</v>
      </c>
      <c r="E42" s="8" t="n">
        <v>3</v>
      </c>
      <c r="F42" s="8" t="n">
        <v>3</v>
      </c>
      <c r="G42" s="8" t="n">
        <v>5</v>
      </c>
      <c r="H42" s="8" t="n">
        <v>17</v>
      </c>
      <c r="I42" s="8" t="n">
        <v>65.16</v>
      </c>
    </row>
    <row r="43">
      <c r="A43" s="9" t="n">
        <v>34</v>
      </c>
      <c r="B43" s="9" t="inlineStr">
        <is>
          <t>荣昌区</t>
        </is>
      </c>
      <c r="C43" s="9" t="n">
        <v>1</v>
      </c>
      <c r="D43" s="9" t="n">
        <v>1</v>
      </c>
      <c r="E43" s="9" t="n">
        <v>6</v>
      </c>
      <c r="F43" s="9" t="n">
        <v>6</v>
      </c>
      <c r="G43" s="9" t="n">
        <v>3</v>
      </c>
      <c r="H43" s="9" t="n">
        <v>17</v>
      </c>
      <c r="I43" s="9" t="n">
        <v>65.16</v>
      </c>
    </row>
    <row r="44">
      <c r="A44" s="8" t="n">
        <v>35</v>
      </c>
      <c r="B44" s="8" t="inlineStr">
        <is>
          <t>九龙坡区</t>
        </is>
      </c>
      <c r="C44" s="8" t="n">
        <v>1</v>
      </c>
      <c r="D44" s="8" t="n">
        <v>1</v>
      </c>
      <c r="E44" s="8" t="n">
        <v>4</v>
      </c>
      <c r="F44" s="8" t="n">
        <v>4</v>
      </c>
      <c r="G44" s="8" t="n">
        <v>5</v>
      </c>
      <c r="H44" s="8" t="n">
        <v>15</v>
      </c>
      <c r="I44" s="8" t="n">
        <v>65.14</v>
      </c>
    </row>
    <row r="45">
      <c r="A45" s="9" t="n">
        <v>36</v>
      </c>
      <c r="B45" s="9" t="inlineStr">
        <is>
          <t>万州区</t>
        </is>
      </c>
      <c r="C45" s="9" t="n">
        <v>5</v>
      </c>
      <c r="D45" s="9" t="n">
        <v>1</v>
      </c>
      <c r="E45" s="9" t="n">
        <v>3</v>
      </c>
      <c r="F45" s="9" t="n">
        <v>1</v>
      </c>
      <c r="G45" s="9" t="n">
        <v>2</v>
      </c>
      <c r="H45" s="9" t="n">
        <v>12</v>
      </c>
      <c r="I45" s="9" t="n">
        <v>65.09999999999999</v>
      </c>
    </row>
    <row r="46">
      <c r="A46" s="8" t="n">
        <v>37</v>
      </c>
      <c r="B46" s="8" t="inlineStr">
        <is>
          <t>璧山区</t>
        </is>
      </c>
      <c r="C46" s="8" t="n">
        <v>1</v>
      </c>
      <c r="D46" s="8" t="n">
        <v>1</v>
      </c>
      <c r="E46" s="8" t="n">
        <v>4</v>
      </c>
      <c r="F46" s="8" t="n">
        <v>1</v>
      </c>
      <c r="G46" s="8" t="n">
        <v>3</v>
      </c>
      <c r="H46" s="8" t="n">
        <v>10</v>
      </c>
      <c r="I46" s="8" t="n">
        <v>65.06999999999999</v>
      </c>
    </row>
    <row r="47">
      <c r="A47" s="9" t="n">
        <v>38</v>
      </c>
      <c r="B47" s="9" t="inlineStr">
        <is>
          <t>长寿区</t>
        </is>
      </c>
      <c r="C47" s="9" t="n">
        <v>2</v>
      </c>
      <c r="D47" s="9" t="n">
        <v>1</v>
      </c>
      <c r="E47" s="9" t="n">
        <v>3</v>
      </c>
      <c r="F47" s="9" t="n">
        <v>2</v>
      </c>
      <c r="G47" s="9" t="n">
        <v>1</v>
      </c>
      <c r="H47" s="9" t="n">
        <v>9</v>
      </c>
      <c r="I47" s="9" t="n">
        <v>65.06</v>
      </c>
    </row>
    <row r="48">
      <c r="A48" s="8" t="n">
        <v>39</v>
      </c>
      <c r="B48" s="8" t="inlineStr">
        <is>
          <t>科学城重庆高新区</t>
        </is>
      </c>
      <c r="C48" s="8" t="n">
        <v>1</v>
      </c>
      <c r="D48" s="8" t="n">
        <v>0</v>
      </c>
      <c r="E48" s="8" t="n">
        <v>0</v>
      </c>
      <c r="F48" s="8" t="n">
        <v>1</v>
      </c>
      <c r="G48" s="8" t="n">
        <v>2</v>
      </c>
      <c r="H48" s="8" t="n">
        <v>4</v>
      </c>
      <c r="I48" s="8" t="n">
        <v>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  <col width="12" customWidth="1" min="14" max="14"/>
    <col width="18" customWidth="1" min="15" max="15"/>
  </cols>
  <sheetData>
    <row r="1">
      <c r="A1" s="5" t="inlineStr">
        <is>
          <t>衡量指标</t>
        </is>
      </c>
      <c r="B1" s="6" t="inlineStr">
        <is>
          <t>公众行为引导-活动主题丰富度</t>
        </is>
      </c>
    </row>
    <row r="2">
      <c r="A2" s="5" t="inlineStr">
        <is>
          <t>一级权重</t>
        </is>
      </c>
      <c r="B2" s="6" t="inlineStr">
        <is>
          <t>7%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客户 Excel 5 主题场数</t>
        </is>
      </c>
    </row>
    <row r="5">
      <c r="A5" s="5" t="inlineStr">
        <is>
          <t>公式</t>
        </is>
      </c>
      <c r="B5" s="6" t="inlineStr">
        <is>
          <t>F = 1 / Σ |p_t − 1/5| ; p_t = 某主题场数 / 总场数 ; N=5</t>
        </is>
      </c>
    </row>
    <row r="6">
      <c r="A6" s="5" t="inlineStr">
        <is>
          <t>中间列说明</t>
        </is>
      </c>
      <c r="B6" s="6" t="inlineStr">
        <is>
          <t>5 主题占比 (%) → |p_t − 1/5| → Σ → F = 1/Σ → 区间化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 F 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六五环境日占比%</t>
        </is>
      </c>
      <c r="D10" s="7" t="inlineStr">
        <is>
          <t>815全国生态日占比%</t>
        </is>
      </c>
      <c r="E10" s="7" t="inlineStr">
        <is>
          <t>志愿服务活动占比%</t>
        </is>
      </c>
      <c r="F10" s="7" t="inlineStr">
        <is>
          <t>环保设施向公众开放占比%</t>
        </is>
      </c>
      <c r="G10" s="7" t="inlineStr">
        <is>
          <t>美丽重庆六进活动占比%</t>
        </is>
      </c>
      <c r="H10" s="7" t="inlineStr">
        <is>
          <t>|六五环境日-1/5|</t>
        </is>
      </c>
      <c r="I10" s="7" t="inlineStr">
        <is>
          <t>|815全国生态日-1/5|</t>
        </is>
      </c>
      <c r="J10" s="7" t="inlineStr">
        <is>
          <t>|志愿服务活动-1/5|</t>
        </is>
      </c>
      <c r="K10" s="7" t="inlineStr">
        <is>
          <t>|环保设施向公众开放-1/5|</t>
        </is>
      </c>
      <c r="L10" s="7" t="inlineStr">
        <is>
          <t>|美丽重庆六进活动-1/5|</t>
        </is>
      </c>
      <c r="M10" s="7" t="inlineStr">
        <is>
          <t>Σ</t>
        </is>
      </c>
      <c r="N10" s="7" t="inlineStr">
        <is>
          <t>F = 1/Σ</t>
        </is>
      </c>
      <c r="O10" s="7" t="inlineStr">
        <is>
          <t>丰富度得分</t>
        </is>
      </c>
    </row>
    <row r="11">
      <c r="A11" s="8" t="n">
        <v>1</v>
      </c>
      <c r="B11" s="8" t="inlineStr">
        <is>
          <t>巴南区</t>
        </is>
      </c>
      <c r="C11" s="8" t="n">
        <v>23.81</v>
      </c>
      <c r="D11" s="8" t="n">
        <v>4.76</v>
      </c>
      <c r="E11" s="8" t="n">
        <v>23.81</v>
      </c>
      <c r="F11" s="8" t="n">
        <v>28.57</v>
      </c>
      <c r="G11" s="8" t="n">
        <v>19.05</v>
      </c>
      <c r="H11" s="8" t="n">
        <v>0.0381</v>
      </c>
      <c r="I11" s="8" t="n">
        <v>0.1524</v>
      </c>
      <c r="J11" s="8" t="n">
        <v>0.0381</v>
      </c>
      <c r="K11" s="8" t="n">
        <v>0.0857</v>
      </c>
      <c r="L11" s="8" t="n">
        <v>0.0095</v>
      </c>
      <c r="M11" s="8" t="n">
        <v>0.3238</v>
      </c>
      <c r="N11" s="8" t="n">
        <v>3.0882</v>
      </c>
      <c r="O11" s="8" t="n">
        <v>95</v>
      </c>
    </row>
    <row r="12">
      <c r="A12" s="9" t="n">
        <v>2</v>
      </c>
      <c r="B12" s="9" t="inlineStr">
        <is>
          <t>长寿区</t>
        </is>
      </c>
      <c r="C12" s="9" t="n">
        <v>22.22</v>
      </c>
      <c r="D12" s="9" t="n">
        <v>11.11</v>
      </c>
      <c r="E12" s="9" t="n">
        <v>33.33</v>
      </c>
      <c r="F12" s="9" t="n">
        <v>22.22</v>
      </c>
      <c r="G12" s="9" t="n">
        <v>11.11</v>
      </c>
      <c r="H12" s="9" t="n">
        <v>0.0222</v>
      </c>
      <c r="I12" s="9" t="n">
        <v>0.08890000000000001</v>
      </c>
      <c r="J12" s="9" t="n">
        <v>0.1333</v>
      </c>
      <c r="K12" s="9" t="n">
        <v>0.0222</v>
      </c>
      <c r="L12" s="9" t="n">
        <v>0.08890000000000001</v>
      </c>
      <c r="M12" s="9" t="n">
        <v>0.3556</v>
      </c>
      <c r="N12" s="9" t="n">
        <v>2.8125</v>
      </c>
      <c r="O12" s="9" t="n">
        <v>91.63</v>
      </c>
    </row>
    <row r="13">
      <c r="A13" s="8" t="n">
        <v>3</v>
      </c>
      <c r="B13" s="8" t="inlineStr">
        <is>
          <t>武隆区</t>
        </is>
      </c>
      <c r="C13" s="8" t="n">
        <v>29.41</v>
      </c>
      <c r="D13" s="8" t="n">
        <v>5.88</v>
      </c>
      <c r="E13" s="8" t="n">
        <v>17.65</v>
      </c>
      <c r="F13" s="8" t="n">
        <v>17.65</v>
      </c>
      <c r="G13" s="8" t="n">
        <v>29.41</v>
      </c>
      <c r="H13" s="8" t="n">
        <v>0.0941</v>
      </c>
      <c r="I13" s="8" t="n">
        <v>0.1412</v>
      </c>
      <c r="J13" s="8" t="n">
        <v>0.0235</v>
      </c>
      <c r="K13" s="8" t="n">
        <v>0.0235</v>
      </c>
      <c r="L13" s="8" t="n">
        <v>0.0941</v>
      </c>
      <c r="M13" s="8" t="n">
        <v>0.3765</v>
      </c>
      <c r="N13" s="8" t="n">
        <v>2.6562</v>
      </c>
      <c r="O13" s="8" t="n">
        <v>89.70999999999999</v>
      </c>
    </row>
    <row r="14">
      <c r="A14" s="9" t="n">
        <v>4</v>
      </c>
      <c r="B14" s="9" t="inlineStr">
        <is>
          <t>潼南区</t>
        </is>
      </c>
      <c r="C14" s="9" t="n">
        <v>13.79</v>
      </c>
      <c r="D14" s="9" t="n">
        <v>3.45</v>
      </c>
      <c r="E14" s="9" t="n">
        <v>20.69</v>
      </c>
      <c r="F14" s="9" t="n">
        <v>20.69</v>
      </c>
      <c r="G14" s="9" t="n">
        <v>41.38</v>
      </c>
      <c r="H14" s="9" t="n">
        <v>0.0621</v>
      </c>
      <c r="I14" s="9" t="n">
        <v>0.1655</v>
      </c>
      <c r="J14" s="9" t="n">
        <v>0.0069</v>
      </c>
      <c r="K14" s="9" t="n">
        <v>0.0069</v>
      </c>
      <c r="L14" s="9" t="n">
        <v>0.2138</v>
      </c>
      <c r="M14" s="9" t="n">
        <v>0.4552</v>
      </c>
      <c r="N14" s="9" t="n">
        <v>2.197</v>
      </c>
      <c r="O14" s="9" t="n">
        <v>84.09</v>
      </c>
    </row>
    <row r="15">
      <c r="A15" s="8" t="n">
        <v>5</v>
      </c>
      <c r="B15" s="8" t="inlineStr">
        <is>
          <t>大渡口区</t>
        </is>
      </c>
      <c r="C15" s="8" t="n">
        <v>13.79</v>
      </c>
      <c r="D15" s="8" t="n">
        <v>3.45</v>
      </c>
      <c r="E15" s="8" t="n">
        <v>41.38</v>
      </c>
      <c r="F15" s="8" t="n">
        <v>20.69</v>
      </c>
      <c r="G15" s="8" t="n">
        <v>20.69</v>
      </c>
      <c r="H15" s="8" t="n">
        <v>0.0621</v>
      </c>
      <c r="I15" s="8" t="n">
        <v>0.1655</v>
      </c>
      <c r="J15" s="8" t="n">
        <v>0.2138</v>
      </c>
      <c r="K15" s="8" t="n">
        <v>0.0069</v>
      </c>
      <c r="L15" s="8" t="n">
        <v>0.0069</v>
      </c>
      <c r="M15" s="8" t="n">
        <v>0.4552</v>
      </c>
      <c r="N15" s="8" t="n">
        <v>2.197</v>
      </c>
      <c r="O15" s="8" t="n">
        <v>84.09</v>
      </c>
    </row>
    <row r="16">
      <c r="A16" s="9" t="n">
        <v>6</v>
      </c>
      <c r="B16" s="9" t="inlineStr">
        <is>
          <t>永川区</t>
        </is>
      </c>
      <c r="C16" s="9" t="n">
        <v>15.15</v>
      </c>
      <c r="D16" s="9" t="n">
        <v>3.03</v>
      </c>
      <c r="E16" s="9" t="n">
        <v>30.3</v>
      </c>
      <c r="F16" s="9" t="n">
        <v>18.18</v>
      </c>
      <c r="G16" s="9" t="n">
        <v>33.33</v>
      </c>
      <c r="H16" s="9" t="n">
        <v>0.0485</v>
      </c>
      <c r="I16" s="9" t="n">
        <v>0.1697</v>
      </c>
      <c r="J16" s="9" t="n">
        <v>0.103</v>
      </c>
      <c r="K16" s="9" t="n">
        <v>0.0182</v>
      </c>
      <c r="L16" s="9" t="n">
        <v>0.1333</v>
      </c>
      <c r="M16" s="9" t="n">
        <v>0.4727</v>
      </c>
      <c r="N16" s="9" t="n">
        <v>2.1154</v>
      </c>
      <c r="O16" s="9" t="n">
        <v>83.09999999999999</v>
      </c>
    </row>
    <row r="17">
      <c r="A17" s="8" t="n">
        <v>7</v>
      </c>
      <c r="B17" s="8" t="inlineStr">
        <is>
          <t>万盛经开区</t>
        </is>
      </c>
      <c r="C17" s="8" t="n">
        <v>14.29</v>
      </c>
      <c r="D17" s="8" t="n">
        <v>7.14</v>
      </c>
      <c r="E17" s="8" t="n">
        <v>28.57</v>
      </c>
      <c r="F17" s="8" t="n">
        <v>14.29</v>
      </c>
      <c r="G17" s="8" t="n">
        <v>35.71</v>
      </c>
      <c r="H17" s="8" t="n">
        <v>0.0571</v>
      </c>
      <c r="I17" s="8" t="n">
        <v>0.1286</v>
      </c>
      <c r="J17" s="8" t="n">
        <v>0.0857</v>
      </c>
      <c r="K17" s="8" t="n">
        <v>0.0571</v>
      </c>
      <c r="L17" s="8" t="n">
        <v>0.1571</v>
      </c>
      <c r="M17" s="8" t="n">
        <v>0.4857</v>
      </c>
      <c r="N17" s="8" t="n">
        <v>2.0588</v>
      </c>
      <c r="O17" s="8" t="n">
        <v>82.40000000000001</v>
      </c>
    </row>
    <row r="18">
      <c r="A18" s="9" t="n">
        <v>8</v>
      </c>
      <c r="B18" s="9" t="inlineStr">
        <is>
          <t>万州区</t>
        </is>
      </c>
      <c r="C18" s="9" t="n">
        <v>41.67</v>
      </c>
      <c r="D18" s="9" t="n">
        <v>8.33</v>
      </c>
      <c r="E18" s="9" t="n">
        <v>25</v>
      </c>
      <c r="F18" s="9" t="n">
        <v>8.33</v>
      </c>
      <c r="G18" s="9" t="n">
        <v>16.67</v>
      </c>
      <c r="H18" s="9" t="n">
        <v>0.2167</v>
      </c>
      <c r="I18" s="9" t="n">
        <v>0.1167</v>
      </c>
      <c r="J18" s="9" t="n">
        <v>0.05</v>
      </c>
      <c r="K18" s="9" t="n">
        <v>0.1167</v>
      </c>
      <c r="L18" s="9" t="n">
        <v>0.0333</v>
      </c>
      <c r="M18" s="9" t="n">
        <v>0.5333</v>
      </c>
      <c r="N18" s="9" t="n">
        <v>1.875</v>
      </c>
      <c r="O18" s="9" t="n">
        <v>80.15000000000001</v>
      </c>
    </row>
    <row r="19">
      <c r="A19" s="8" t="n">
        <v>9</v>
      </c>
      <c r="B19" s="8" t="inlineStr">
        <is>
          <t>九龙坡区</t>
        </is>
      </c>
      <c r="C19" s="8" t="n">
        <v>6.67</v>
      </c>
      <c r="D19" s="8" t="n">
        <v>6.67</v>
      </c>
      <c r="E19" s="8" t="n">
        <v>26.67</v>
      </c>
      <c r="F19" s="8" t="n">
        <v>26.67</v>
      </c>
      <c r="G19" s="8" t="n">
        <v>33.33</v>
      </c>
      <c r="H19" s="8" t="n">
        <v>0.1333</v>
      </c>
      <c r="I19" s="8" t="n">
        <v>0.1333</v>
      </c>
      <c r="J19" s="8" t="n">
        <v>0.0667</v>
      </c>
      <c r="K19" s="8" t="n">
        <v>0.0667</v>
      </c>
      <c r="L19" s="8" t="n">
        <v>0.1333</v>
      </c>
      <c r="M19" s="8" t="n">
        <v>0.5333</v>
      </c>
      <c r="N19" s="8" t="n">
        <v>1.875</v>
      </c>
      <c r="O19" s="8" t="n">
        <v>80.15000000000001</v>
      </c>
    </row>
    <row r="20">
      <c r="A20" s="9" t="n">
        <v>10</v>
      </c>
      <c r="B20" s="9" t="inlineStr">
        <is>
          <t>梁平区</t>
        </is>
      </c>
      <c r="C20" s="9" t="n">
        <v>10</v>
      </c>
      <c r="D20" s="9" t="n">
        <v>3.33</v>
      </c>
      <c r="E20" s="9" t="n">
        <v>33.33</v>
      </c>
      <c r="F20" s="9" t="n">
        <v>20</v>
      </c>
      <c r="G20" s="9" t="n">
        <v>33.33</v>
      </c>
      <c r="H20" s="9" t="n">
        <v>0.1</v>
      </c>
      <c r="I20" s="9" t="n">
        <v>0.1667</v>
      </c>
      <c r="J20" s="9" t="n">
        <v>0.1333</v>
      </c>
      <c r="K20" s="9" t="n">
        <v>0</v>
      </c>
      <c r="L20" s="9" t="n">
        <v>0.1333</v>
      </c>
      <c r="M20" s="9" t="n">
        <v>0.5333</v>
      </c>
      <c r="N20" s="9" t="n">
        <v>1.875</v>
      </c>
      <c r="O20" s="9" t="n">
        <v>80.15000000000001</v>
      </c>
    </row>
    <row r="21">
      <c r="A21" s="8" t="n">
        <v>11</v>
      </c>
      <c r="B21" s="8" t="inlineStr">
        <is>
          <t>秀山县</t>
        </is>
      </c>
      <c r="C21" s="8" t="n">
        <v>12.77</v>
      </c>
      <c r="D21" s="8" t="n">
        <v>2.13</v>
      </c>
      <c r="E21" s="8" t="n">
        <v>38.3</v>
      </c>
      <c r="F21" s="8" t="n">
        <v>17.02</v>
      </c>
      <c r="G21" s="8" t="n">
        <v>29.79</v>
      </c>
      <c r="H21" s="8" t="n">
        <v>0.0723</v>
      </c>
      <c r="I21" s="8" t="n">
        <v>0.1787</v>
      </c>
      <c r="J21" s="8" t="n">
        <v>0.183</v>
      </c>
      <c r="K21" s="8" t="n">
        <v>0.0298</v>
      </c>
      <c r="L21" s="8" t="n">
        <v>0.0979</v>
      </c>
      <c r="M21" s="8" t="n">
        <v>0.5617</v>
      </c>
      <c r="N21" s="8" t="n">
        <v>1.7803</v>
      </c>
      <c r="O21" s="8" t="n">
        <v>79</v>
      </c>
    </row>
    <row r="22">
      <c r="A22" s="9" t="n">
        <v>12</v>
      </c>
      <c r="B22" s="9" t="inlineStr">
        <is>
          <t>奉节县</t>
        </is>
      </c>
      <c r="C22" s="9" t="n">
        <v>7.69</v>
      </c>
      <c r="D22" s="9" t="n">
        <v>3.85</v>
      </c>
      <c r="E22" s="9" t="n">
        <v>38.46</v>
      </c>
      <c r="F22" s="9" t="n">
        <v>23.08</v>
      </c>
      <c r="G22" s="9" t="n">
        <v>26.92</v>
      </c>
      <c r="H22" s="9" t="n">
        <v>0.1231</v>
      </c>
      <c r="I22" s="9" t="n">
        <v>0.1615</v>
      </c>
      <c r="J22" s="9" t="n">
        <v>0.1846</v>
      </c>
      <c r="K22" s="9" t="n">
        <v>0.0308</v>
      </c>
      <c r="L22" s="9" t="n">
        <v>0.0692</v>
      </c>
      <c r="M22" s="9" t="n">
        <v>0.5692</v>
      </c>
      <c r="N22" s="9" t="n">
        <v>1.7568</v>
      </c>
      <c r="O22" s="9" t="n">
        <v>78.70999999999999</v>
      </c>
    </row>
    <row r="23">
      <c r="A23" s="8" t="n">
        <v>13</v>
      </c>
      <c r="B23" s="8" t="inlineStr">
        <is>
          <t>石柱县</t>
        </is>
      </c>
      <c r="C23" s="8" t="n">
        <v>10.26</v>
      </c>
      <c r="D23" s="8" t="n">
        <v>5.13</v>
      </c>
      <c r="E23" s="8" t="n">
        <v>25.64</v>
      </c>
      <c r="F23" s="8" t="n">
        <v>15.38</v>
      </c>
      <c r="G23" s="8" t="n">
        <v>43.59</v>
      </c>
      <c r="H23" s="8" t="n">
        <v>0.0974</v>
      </c>
      <c r="I23" s="8" t="n">
        <v>0.1487</v>
      </c>
      <c r="J23" s="8" t="n">
        <v>0.0564</v>
      </c>
      <c r="K23" s="8" t="n">
        <v>0.0462</v>
      </c>
      <c r="L23" s="8" t="n">
        <v>0.2359</v>
      </c>
      <c r="M23" s="8" t="n">
        <v>0.5846</v>
      </c>
      <c r="N23" s="8" t="n">
        <v>1.7105</v>
      </c>
      <c r="O23" s="8" t="n">
        <v>78.14</v>
      </c>
    </row>
    <row r="24">
      <c r="A24" s="9" t="n">
        <v>14</v>
      </c>
      <c r="B24" s="9" t="inlineStr">
        <is>
          <t>璧山区</t>
        </is>
      </c>
      <c r="C24" s="9" t="n">
        <v>10</v>
      </c>
      <c r="D24" s="9" t="n">
        <v>10</v>
      </c>
      <c r="E24" s="9" t="n">
        <v>40</v>
      </c>
      <c r="F24" s="9" t="n">
        <v>10</v>
      </c>
      <c r="G24" s="9" t="n">
        <v>30</v>
      </c>
      <c r="H24" s="9" t="n">
        <v>0.1</v>
      </c>
      <c r="I24" s="9" t="n">
        <v>0.1</v>
      </c>
      <c r="J24" s="9" t="n">
        <v>0.2</v>
      </c>
      <c r="K24" s="9" t="n">
        <v>0.1</v>
      </c>
      <c r="L24" s="9" t="n">
        <v>0.1</v>
      </c>
      <c r="M24" s="9" t="n">
        <v>0.6</v>
      </c>
      <c r="N24" s="9" t="n">
        <v>1.6667</v>
      </c>
      <c r="O24" s="9" t="n">
        <v>77.61</v>
      </c>
    </row>
    <row r="25">
      <c r="A25" s="8" t="n">
        <v>15</v>
      </c>
      <c r="B25" s="8" t="inlineStr">
        <is>
          <t>沙坪坝区</t>
        </is>
      </c>
      <c r="C25" s="8" t="n">
        <v>43.18</v>
      </c>
      <c r="D25" s="8" t="n">
        <v>2.27</v>
      </c>
      <c r="E25" s="8" t="n">
        <v>27.27</v>
      </c>
      <c r="F25" s="8" t="n">
        <v>13.64</v>
      </c>
      <c r="G25" s="8" t="n">
        <v>13.64</v>
      </c>
      <c r="H25" s="8" t="n">
        <v>0.2318</v>
      </c>
      <c r="I25" s="8" t="n">
        <v>0.1773</v>
      </c>
      <c r="J25" s="8" t="n">
        <v>0.0727</v>
      </c>
      <c r="K25" s="8" t="n">
        <v>0.0636</v>
      </c>
      <c r="L25" s="8" t="n">
        <v>0.0636</v>
      </c>
      <c r="M25" s="8" t="n">
        <v>0.6091</v>
      </c>
      <c r="N25" s="8" t="n">
        <v>1.6418</v>
      </c>
      <c r="O25" s="8" t="n">
        <v>77.3</v>
      </c>
    </row>
    <row r="26">
      <c r="A26" s="9" t="n">
        <v>16</v>
      </c>
      <c r="B26" s="9" t="inlineStr">
        <is>
          <t>荣昌区</t>
        </is>
      </c>
      <c r="C26" s="9" t="n">
        <v>5.88</v>
      </c>
      <c r="D26" s="9" t="n">
        <v>5.88</v>
      </c>
      <c r="E26" s="9" t="n">
        <v>35.29</v>
      </c>
      <c r="F26" s="9" t="n">
        <v>35.29</v>
      </c>
      <c r="G26" s="9" t="n">
        <v>17.65</v>
      </c>
      <c r="H26" s="9" t="n">
        <v>0.1412</v>
      </c>
      <c r="I26" s="9" t="n">
        <v>0.1412</v>
      </c>
      <c r="J26" s="9" t="n">
        <v>0.1529</v>
      </c>
      <c r="K26" s="9" t="n">
        <v>0.1529</v>
      </c>
      <c r="L26" s="9" t="n">
        <v>0.0235</v>
      </c>
      <c r="M26" s="9" t="n">
        <v>0.6118</v>
      </c>
      <c r="N26" s="9" t="n">
        <v>1.6346</v>
      </c>
      <c r="O26" s="9" t="n">
        <v>77.20999999999999</v>
      </c>
    </row>
    <row r="27">
      <c r="A27" s="8" t="n">
        <v>17</v>
      </c>
      <c r="B27" s="8" t="inlineStr">
        <is>
          <t>丰都县</t>
        </is>
      </c>
      <c r="C27" s="8" t="n">
        <v>4.17</v>
      </c>
      <c r="D27" s="8" t="n">
        <v>4.17</v>
      </c>
      <c r="E27" s="8" t="n">
        <v>41.67</v>
      </c>
      <c r="F27" s="8" t="n">
        <v>25</v>
      </c>
      <c r="G27" s="8" t="n">
        <v>25</v>
      </c>
      <c r="H27" s="8" t="n">
        <v>0.1583</v>
      </c>
      <c r="I27" s="8" t="n">
        <v>0.1583</v>
      </c>
      <c r="J27" s="8" t="n">
        <v>0.2167</v>
      </c>
      <c r="K27" s="8" t="n">
        <v>0.05</v>
      </c>
      <c r="L27" s="8" t="n">
        <v>0.05</v>
      </c>
      <c r="M27" s="8" t="n">
        <v>0.6333</v>
      </c>
      <c r="N27" s="8" t="n">
        <v>1.5789</v>
      </c>
      <c r="O27" s="8" t="n">
        <v>76.53</v>
      </c>
    </row>
    <row r="28">
      <c r="A28" s="9" t="n">
        <v>18</v>
      </c>
      <c r="B28" s="9" t="inlineStr">
        <is>
          <t>涪陵区</t>
        </is>
      </c>
      <c r="C28" s="9" t="n">
        <v>9.33</v>
      </c>
      <c r="D28" s="9" t="n">
        <v>2.67</v>
      </c>
      <c r="E28" s="9" t="n">
        <v>16</v>
      </c>
      <c r="F28" s="9" t="n">
        <v>49.33</v>
      </c>
      <c r="G28" s="9" t="n">
        <v>22.67</v>
      </c>
      <c r="H28" s="9" t="n">
        <v>0.1067</v>
      </c>
      <c r="I28" s="9" t="n">
        <v>0.1733</v>
      </c>
      <c r="J28" s="9" t="n">
        <v>0.04</v>
      </c>
      <c r="K28" s="9" t="n">
        <v>0.2933</v>
      </c>
      <c r="L28" s="9" t="n">
        <v>0.0267</v>
      </c>
      <c r="M28" s="9" t="n">
        <v>0.64</v>
      </c>
      <c r="N28" s="9" t="n">
        <v>1.5625</v>
      </c>
      <c r="O28" s="9" t="n">
        <v>76.33</v>
      </c>
    </row>
    <row r="29">
      <c r="A29" s="8" t="n">
        <v>19</v>
      </c>
      <c r="B29" s="8" t="inlineStr">
        <is>
          <t>南川区</t>
        </is>
      </c>
      <c r="C29" s="8" t="n">
        <v>28.68</v>
      </c>
      <c r="D29" s="8" t="n">
        <v>1.47</v>
      </c>
      <c r="E29" s="8" t="n">
        <v>25</v>
      </c>
      <c r="F29" s="8" t="n">
        <v>4.41</v>
      </c>
      <c r="G29" s="8" t="n">
        <v>40.44</v>
      </c>
      <c r="H29" s="8" t="n">
        <v>0.0868</v>
      </c>
      <c r="I29" s="8" t="n">
        <v>0.1853</v>
      </c>
      <c r="J29" s="8" t="n">
        <v>0.05</v>
      </c>
      <c r="K29" s="8" t="n">
        <v>0.1559</v>
      </c>
      <c r="L29" s="8" t="n">
        <v>0.2044</v>
      </c>
      <c r="M29" s="8" t="n">
        <v>0.6824</v>
      </c>
      <c r="N29" s="8" t="n">
        <v>1.4655</v>
      </c>
      <c r="O29" s="8" t="n">
        <v>75.14</v>
      </c>
    </row>
    <row r="30">
      <c r="A30" s="9" t="n">
        <v>20</v>
      </c>
      <c r="B30" s="9" t="inlineStr">
        <is>
          <t>南岸区</t>
        </is>
      </c>
      <c r="C30" s="9" t="n">
        <v>45.16</v>
      </c>
      <c r="D30" s="9" t="n">
        <v>3.23</v>
      </c>
      <c r="E30" s="9" t="n">
        <v>16.13</v>
      </c>
      <c r="F30" s="9" t="n">
        <v>29.03</v>
      </c>
      <c r="G30" s="9" t="n">
        <v>6.45</v>
      </c>
      <c r="H30" s="9" t="n">
        <v>0.2516</v>
      </c>
      <c r="I30" s="9" t="n">
        <v>0.1677</v>
      </c>
      <c r="J30" s="9" t="n">
        <v>0.0387</v>
      </c>
      <c r="K30" s="9" t="n">
        <v>0.09030000000000001</v>
      </c>
      <c r="L30" s="9" t="n">
        <v>0.1355</v>
      </c>
      <c r="M30" s="9" t="n">
        <v>0.6839</v>
      </c>
      <c r="N30" s="9" t="n">
        <v>1.4623</v>
      </c>
      <c r="O30" s="9" t="n">
        <v>75.09999999999999</v>
      </c>
    </row>
    <row r="31">
      <c r="A31" s="8" t="n">
        <v>21</v>
      </c>
      <c r="B31" s="8" t="inlineStr">
        <is>
          <t>酉阳县</t>
        </is>
      </c>
      <c r="C31" s="8" t="n">
        <v>50.6</v>
      </c>
      <c r="D31" s="8" t="n">
        <v>3.61</v>
      </c>
      <c r="E31" s="8" t="n">
        <v>24.1</v>
      </c>
      <c r="F31" s="8" t="n">
        <v>4.82</v>
      </c>
      <c r="G31" s="8" t="n">
        <v>16.87</v>
      </c>
      <c r="H31" s="8" t="n">
        <v>0.306</v>
      </c>
      <c r="I31" s="8" t="n">
        <v>0.1639</v>
      </c>
      <c r="J31" s="8" t="n">
        <v>0.041</v>
      </c>
      <c r="K31" s="8" t="n">
        <v>0.1518</v>
      </c>
      <c r="L31" s="8" t="n">
        <v>0.0313</v>
      </c>
      <c r="M31" s="8" t="n">
        <v>0.694</v>
      </c>
      <c r="N31" s="8" t="n">
        <v>1.441</v>
      </c>
      <c r="O31" s="8" t="n">
        <v>74.84</v>
      </c>
    </row>
    <row r="32">
      <c r="A32" s="9" t="n">
        <v>22</v>
      </c>
      <c r="B32" s="9" t="inlineStr">
        <is>
          <t>忠县</t>
        </is>
      </c>
      <c r="C32" s="9" t="n">
        <v>3.12</v>
      </c>
      <c r="D32" s="9" t="n">
        <v>3.12</v>
      </c>
      <c r="E32" s="9" t="n">
        <v>37.5</v>
      </c>
      <c r="F32" s="9" t="n">
        <v>37.5</v>
      </c>
      <c r="G32" s="9" t="n">
        <v>18.75</v>
      </c>
      <c r="H32" s="9" t="n">
        <v>0.1688</v>
      </c>
      <c r="I32" s="9" t="n">
        <v>0.1688</v>
      </c>
      <c r="J32" s="9" t="n">
        <v>0.175</v>
      </c>
      <c r="K32" s="9" t="n">
        <v>0.175</v>
      </c>
      <c r="L32" s="9" t="n">
        <v>0.0125</v>
      </c>
      <c r="M32" s="9" t="n">
        <v>0.7</v>
      </c>
      <c r="N32" s="9" t="n">
        <v>1.4286</v>
      </c>
      <c r="O32" s="9" t="n">
        <v>74.69</v>
      </c>
    </row>
    <row r="33">
      <c r="A33" s="8" t="n">
        <v>23</v>
      </c>
      <c r="B33" s="8" t="inlineStr">
        <is>
          <t>江津区</t>
        </is>
      </c>
      <c r="C33" s="8" t="n">
        <v>9.52</v>
      </c>
      <c r="D33" s="8" t="n">
        <v>0</v>
      </c>
      <c r="E33" s="8" t="n">
        <v>28.57</v>
      </c>
      <c r="F33" s="8" t="n">
        <v>14.29</v>
      </c>
      <c r="G33" s="8" t="n">
        <v>47.62</v>
      </c>
      <c r="H33" s="8" t="n">
        <v>0.1048</v>
      </c>
      <c r="I33" s="8" t="n">
        <v>0.2</v>
      </c>
      <c r="J33" s="8" t="n">
        <v>0.0857</v>
      </c>
      <c r="K33" s="8" t="n">
        <v>0.0571</v>
      </c>
      <c r="L33" s="8" t="n">
        <v>0.2762</v>
      </c>
      <c r="M33" s="8" t="n">
        <v>0.7238</v>
      </c>
      <c r="N33" s="8" t="n">
        <v>1.3816</v>
      </c>
      <c r="O33" s="8" t="n">
        <v>74.12</v>
      </c>
    </row>
    <row r="34">
      <c r="A34" s="9" t="n">
        <v>24</v>
      </c>
      <c r="B34" s="9" t="inlineStr">
        <is>
          <t>大足区</t>
        </is>
      </c>
      <c r="C34" s="9" t="n">
        <v>32.43</v>
      </c>
      <c r="D34" s="9" t="n">
        <v>0.68</v>
      </c>
      <c r="E34" s="9" t="n">
        <v>27.03</v>
      </c>
      <c r="F34" s="9" t="n">
        <v>2.03</v>
      </c>
      <c r="G34" s="9" t="n">
        <v>37.84</v>
      </c>
      <c r="H34" s="9" t="n">
        <v>0.1243</v>
      </c>
      <c r="I34" s="9" t="n">
        <v>0.1932</v>
      </c>
      <c r="J34" s="9" t="n">
        <v>0.0703</v>
      </c>
      <c r="K34" s="9" t="n">
        <v>0.1797</v>
      </c>
      <c r="L34" s="9" t="n">
        <v>0.1784</v>
      </c>
      <c r="M34" s="9" t="n">
        <v>0.7459</v>
      </c>
      <c r="N34" s="9" t="n">
        <v>1.3406</v>
      </c>
      <c r="O34" s="9" t="n">
        <v>73.61</v>
      </c>
    </row>
    <row r="35">
      <c r="A35" s="8" t="n">
        <v>25</v>
      </c>
      <c r="B35" s="8" t="inlineStr">
        <is>
          <t>开州区</t>
        </is>
      </c>
      <c r="C35" s="8" t="n">
        <v>11.11</v>
      </c>
      <c r="D35" s="8" t="n">
        <v>5.56</v>
      </c>
      <c r="E35" s="8" t="n">
        <v>55.56</v>
      </c>
      <c r="F35" s="8" t="n">
        <v>22.22</v>
      </c>
      <c r="G35" s="8" t="n">
        <v>5.56</v>
      </c>
      <c r="H35" s="8" t="n">
        <v>0.08890000000000001</v>
      </c>
      <c r="I35" s="8" t="n">
        <v>0.1444</v>
      </c>
      <c r="J35" s="8" t="n">
        <v>0.3556</v>
      </c>
      <c r="K35" s="8" t="n">
        <v>0.0222</v>
      </c>
      <c r="L35" s="8" t="n">
        <v>0.1444</v>
      </c>
      <c r="M35" s="8" t="n">
        <v>0.7556</v>
      </c>
      <c r="N35" s="8" t="n">
        <v>1.3235</v>
      </c>
      <c r="O35" s="8" t="n">
        <v>73.41</v>
      </c>
    </row>
    <row r="36">
      <c r="A36" s="9" t="n">
        <v>26</v>
      </c>
      <c r="B36" s="9" t="inlineStr">
        <is>
          <t>垫江县</t>
        </is>
      </c>
      <c r="C36" s="9" t="n">
        <v>58.33</v>
      </c>
      <c r="D36" s="9" t="n">
        <v>2.08</v>
      </c>
      <c r="E36" s="9" t="n">
        <v>16.67</v>
      </c>
      <c r="F36" s="9" t="n">
        <v>16.67</v>
      </c>
      <c r="G36" s="9" t="n">
        <v>6.25</v>
      </c>
      <c r="H36" s="9" t="n">
        <v>0.3833</v>
      </c>
      <c r="I36" s="9" t="n">
        <v>0.1792</v>
      </c>
      <c r="J36" s="9" t="n">
        <v>0.0333</v>
      </c>
      <c r="K36" s="9" t="n">
        <v>0.0333</v>
      </c>
      <c r="L36" s="9" t="n">
        <v>0.1375</v>
      </c>
      <c r="M36" s="9" t="n">
        <v>0.7667</v>
      </c>
      <c r="N36" s="9" t="n">
        <v>1.3043</v>
      </c>
      <c r="O36" s="9" t="n">
        <v>73.17</v>
      </c>
    </row>
    <row r="37">
      <c r="A37" s="8" t="n">
        <v>27</v>
      </c>
      <c r="B37" s="8" t="inlineStr">
        <is>
          <t>云阳县</t>
        </is>
      </c>
      <c r="C37" s="8" t="n">
        <v>7.14</v>
      </c>
      <c r="D37" s="8" t="n">
        <v>0</v>
      </c>
      <c r="E37" s="8" t="n">
        <v>53.57</v>
      </c>
      <c r="F37" s="8" t="n">
        <v>25</v>
      </c>
      <c r="G37" s="8" t="n">
        <v>14.29</v>
      </c>
      <c r="H37" s="8" t="n">
        <v>0.1286</v>
      </c>
      <c r="I37" s="8" t="n">
        <v>0.2</v>
      </c>
      <c r="J37" s="8" t="n">
        <v>0.3357</v>
      </c>
      <c r="K37" s="8" t="n">
        <v>0.05</v>
      </c>
      <c r="L37" s="8" t="n">
        <v>0.0571</v>
      </c>
      <c r="M37" s="8" t="n">
        <v>0.7714</v>
      </c>
      <c r="N37" s="8" t="n">
        <v>1.2963</v>
      </c>
      <c r="O37" s="8" t="n">
        <v>73.06999999999999</v>
      </c>
    </row>
    <row r="38">
      <c r="A38" s="9" t="n">
        <v>28</v>
      </c>
      <c r="B38" s="9" t="inlineStr">
        <is>
          <t>渝中区</t>
        </is>
      </c>
      <c r="C38" s="9" t="n">
        <v>5.68</v>
      </c>
      <c r="D38" s="9" t="n">
        <v>2.27</v>
      </c>
      <c r="E38" s="9" t="n">
        <v>12.5</v>
      </c>
      <c r="F38" s="9" t="n">
        <v>31.82</v>
      </c>
      <c r="G38" s="9" t="n">
        <v>47.73</v>
      </c>
      <c r="H38" s="9" t="n">
        <v>0.1432</v>
      </c>
      <c r="I38" s="9" t="n">
        <v>0.1773</v>
      </c>
      <c r="J38" s="9" t="n">
        <v>0.075</v>
      </c>
      <c r="K38" s="9" t="n">
        <v>0.1182</v>
      </c>
      <c r="L38" s="9" t="n">
        <v>0.2773</v>
      </c>
      <c r="M38" s="9" t="n">
        <v>0.7909</v>
      </c>
      <c r="N38" s="9" t="n">
        <v>1.2644</v>
      </c>
      <c r="O38" s="9" t="n">
        <v>72.68000000000001</v>
      </c>
    </row>
    <row r="39">
      <c r="A39" s="8" t="n">
        <v>29</v>
      </c>
      <c r="B39" s="8" t="inlineStr">
        <is>
          <t>巫山县</t>
        </is>
      </c>
      <c r="C39" s="8" t="n">
        <v>5</v>
      </c>
      <c r="D39" s="8" t="n">
        <v>5</v>
      </c>
      <c r="E39" s="8" t="n">
        <v>60</v>
      </c>
      <c r="F39" s="8" t="n">
        <v>10</v>
      </c>
      <c r="G39" s="8" t="n">
        <v>20</v>
      </c>
      <c r="H39" s="8" t="n">
        <v>0.15</v>
      </c>
      <c r="I39" s="8" t="n">
        <v>0.15</v>
      </c>
      <c r="J39" s="8" t="n">
        <v>0.4</v>
      </c>
      <c r="K39" s="8" t="n">
        <v>0.1</v>
      </c>
      <c r="L39" s="8" t="n">
        <v>0</v>
      </c>
      <c r="M39" s="8" t="n">
        <v>0.8</v>
      </c>
      <c r="N39" s="8" t="n">
        <v>1.25</v>
      </c>
      <c r="O39" s="8" t="n">
        <v>72.51000000000001</v>
      </c>
    </row>
    <row r="40">
      <c r="A40" s="9" t="n">
        <v>30</v>
      </c>
      <c r="B40" s="9" t="inlineStr">
        <is>
          <t>科学城重庆高新区</t>
        </is>
      </c>
      <c r="C40" s="9" t="n">
        <v>25</v>
      </c>
      <c r="D40" s="9" t="n">
        <v>0</v>
      </c>
      <c r="E40" s="9" t="n">
        <v>0</v>
      </c>
      <c r="F40" s="9" t="n">
        <v>25</v>
      </c>
      <c r="G40" s="9" t="n">
        <v>50</v>
      </c>
      <c r="H40" s="9" t="n">
        <v>0.05</v>
      </c>
      <c r="I40" s="9" t="n">
        <v>0.2</v>
      </c>
      <c r="J40" s="9" t="n">
        <v>0.2</v>
      </c>
      <c r="K40" s="9" t="n">
        <v>0.05</v>
      </c>
      <c r="L40" s="9" t="n">
        <v>0.3</v>
      </c>
      <c r="M40" s="9" t="n">
        <v>0.8</v>
      </c>
      <c r="N40" s="9" t="n">
        <v>1.25</v>
      </c>
      <c r="O40" s="9" t="n">
        <v>72.51000000000001</v>
      </c>
    </row>
    <row r="41">
      <c r="A41" s="8" t="n">
        <v>31</v>
      </c>
      <c r="B41" s="8" t="inlineStr">
        <is>
          <t>巫溪县</t>
        </is>
      </c>
      <c r="C41" s="8" t="n">
        <v>2.63</v>
      </c>
      <c r="D41" s="8" t="n">
        <v>0</v>
      </c>
      <c r="E41" s="8" t="n">
        <v>31.58</v>
      </c>
      <c r="F41" s="8" t="n">
        <v>15.79</v>
      </c>
      <c r="G41" s="8" t="n">
        <v>50</v>
      </c>
      <c r="H41" s="8" t="n">
        <v>0.1737</v>
      </c>
      <c r="I41" s="8" t="n">
        <v>0.2</v>
      </c>
      <c r="J41" s="8" t="n">
        <v>0.1158</v>
      </c>
      <c r="K41" s="8" t="n">
        <v>0.0421</v>
      </c>
      <c r="L41" s="8" t="n">
        <v>0.3</v>
      </c>
      <c r="M41" s="8" t="n">
        <v>0.8316</v>
      </c>
      <c r="N41" s="8" t="n">
        <v>1.2025</v>
      </c>
      <c r="O41" s="8" t="n">
        <v>71.93000000000001</v>
      </c>
    </row>
    <row r="42">
      <c r="A42" s="9" t="n">
        <v>32</v>
      </c>
      <c r="B42" s="9" t="inlineStr">
        <is>
          <t>合川区</t>
        </is>
      </c>
      <c r="C42" s="9" t="n">
        <v>47.89</v>
      </c>
      <c r="D42" s="9" t="n">
        <v>1.41</v>
      </c>
      <c r="E42" s="9" t="n">
        <v>8.449999999999999</v>
      </c>
      <c r="F42" s="9" t="n">
        <v>8.449999999999999</v>
      </c>
      <c r="G42" s="9" t="n">
        <v>33.8</v>
      </c>
      <c r="H42" s="9" t="n">
        <v>0.2789</v>
      </c>
      <c r="I42" s="9" t="n">
        <v>0.1859</v>
      </c>
      <c r="J42" s="9" t="n">
        <v>0.1155</v>
      </c>
      <c r="K42" s="9" t="n">
        <v>0.1155</v>
      </c>
      <c r="L42" s="9" t="n">
        <v>0.138</v>
      </c>
      <c r="M42" s="9" t="n">
        <v>0.8338</v>
      </c>
      <c r="N42" s="9" t="n">
        <v>1.1993</v>
      </c>
      <c r="O42" s="9" t="n">
        <v>71.89</v>
      </c>
    </row>
    <row r="43">
      <c r="A43" s="8" t="n">
        <v>33</v>
      </c>
      <c r="B43" s="8" t="inlineStr">
        <is>
          <t>黔江区</t>
        </is>
      </c>
      <c r="C43" s="8" t="n">
        <v>2.33</v>
      </c>
      <c r="D43" s="8" t="n">
        <v>2.33</v>
      </c>
      <c r="E43" s="8" t="n">
        <v>41.86</v>
      </c>
      <c r="F43" s="8" t="n">
        <v>41.86</v>
      </c>
      <c r="G43" s="8" t="n">
        <v>11.63</v>
      </c>
      <c r="H43" s="8" t="n">
        <v>0.1767</v>
      </c>
      <c r="I43" s="8" t="n">
        <v>0.1767</v>
      </c>
      <c r="J43" s="8" t="n">
        <v>0.2186</v>
      </c>
      <c r="K43" s="8" t="n">
        <v>0.2186</v>
      </c>
      <c r="L43" s="8" t="n">
        <v>0.0837</v>
      </c>
      <c r="M43" s="8" t="n">
        <v>0.8744</v>
      </c>
      <c r="N43" s="8" t="n">
        <v>1.1436</v>
      </c>
      <c r="O43" s="8" t="n">
        <v>71.2</v>
      </c>
    </row>
    <row r="44">
      <c r="A44" s="9" t="n">
        <v>34</v>
      </c>
      <c r="B44" s="9" t="inlineStr">
        <is>
          <t>两江新区</t>
        </is>
      </c>
      <c r="C44" s="9" t="n">
        <v>4.17</v>
      </c>
      <c r="D44" s="9" t="n">
        <v>4.17</v>
      </c>
      <c r="E44" s="9" t="n">
        <v>65</v>
      </c>
      <c r="F44" s="9" t="n">
        <v>20</v>
      </c>
      <c r="G44" s="9" t="n">
        <v>6.67</v>
      </c>
      <c r="H44" s="9" t="n">
        <v>0.1583</v>
      </c>
      <c r="I44" s="9" t="n">
        <v>0.1583</v>
      </c>
      <c r="J44" s="9" t="n">
        <v>0.45</v>
      </c>
      <c r="K44" s="9" t="n">
        <v>0</v>
      </c>
      <c r="L44" s="9" t="n">
        <v>0.1333</v>
      </c>
      <c r="M44" s="9" t="n">
        <v>0.9</v>
      </c>
      <c r="N44" s="9" t="n">
        <v>1.1111</v>
      </c>
      <c r="O44" s="9" t="n">
        <v>70.81</v>
      </c>
    </row>
    <row r="45">
      <c r="A45" s="8" t="n">
        <v>35</v>
      </c>
      <c r="B45" s="8" t="inlineStr">
        <is>
          <t>铜梁区</t>
        </is>
      </c>
      <c r="C45" s="8" t="n">
        <v>4.05</v>
      </c>
      <c r="D45" s="8" t="n">
        <v>1.35</v>
      </c>
      <c r="E45" s="8" t="n">
        <v>8.109999999999999</v>
      </c>
      <c r="F45" s="8" t="n">
        <v>48.65</v>
      </c>
      <c r="G45" s="8" t="n">
        <v>37.84</v>
      </c>
      <c r="H45" s="8" t="n">
        <v>0.1595</v>
      </c>
      <c r="I45" s="8" t="n">
        <v>0.1865</v>
      </c>
      <c r="J45" s="8" t="n">
        <v>0.1189</v>
      </c>
      <c r="K45" s="8" t="n">
        <v>0.2865</v>
      </c>
      <c r="L45" s="8" t="n">
        <v>0.1784</v>
      </c>
      <c r="M45" s="8" t="n">
        <v>0.9297</v>
      </c>
      <c r="N45" s="8" t="n">
        <v>1.0756</v>
      </c>
      <c r="O45" s="8" t="n">
        <v>70.37</v>
      </c>
    </row>
    <row r="46">
      <c r="A46" s="9" t="n">
        <v>36</v>
      </c>
      <c r="B46" s="9" t="inlineStr">
        <is>
          <t>城口县</t>
        </is>
      </c>
      <c r="C46" s="9" t="n">
        <v>2.27</v>
      </c>
      <c r="D46" s="9" t="n">
        <v>2.27</v>
      </c>
      <c r="E46" s="9" t="n">
        <v>68.18000000000001</v>
      </c>
      <c r="F46" s="9" t="n">
        <v>13.64</v>
      </c>
      <c r="G46" s="9" t="n">
        <v>13.64</v>
      </c>
      <c r="H46" s="9" t="n">
        <v>0.1773</v>
      </c>
      <c r="I46" s="9" t="n">
        <v>0.1773</v>
      </c>
      <c r="J46" s="9" t="n">
        <v>0.4818</v>
      </c>
      <c r="K46" s="9" t="n">
        <v>0.0636</v>
      </c>
      <c r="L46" s="9" t="n">
        <v>0.0636</v>
      </c>
      <c r="M46" s="9" t="n">
        <v>0.9636</v>
      </c>
      <c r="N46" s="9" t="n">
        <v>1.0377</v>
      </c>
      <c r="O46" s="9" t="n">
        <v>69.91</v>
      </c>
    </row>
    <row r="47">
      <c r="A47" s="8" t="n">
        <v>37</v>
      </c>
      <c r="B47" s="8" t="inlineStr">
        <is>
          <t>綦江区</t>
        </is>
      </c>
      <c r="C47" s="8" t="n">
        <v>0.91</v>
      </c>
      <c r="D47" s="8" t="n">
        <v>1.49</v>
      </c>
      <c r="E47" s="8" t="n">
        <v>40.99</v>
      </c>
      <c r="F47" s="8" t="n">
        <v>0.37</v>
      </c>
      <c r="G47" s="8" t="n">
        <v>56.24</v>
      </c>
      <c r="H47" s="8" t="n">
        <v>0.1909</v>
      </c>
      <c r="I47" s="8" t="n">
        <v>0.1851</v>
      </c>
      <c r="J47" s="8" t="n">
        <v>0.2099</v>
      </c>
      <c r="K47" s="8" t="n">
        <v>0.1963</v>
      </c>
      <c r="L47" s="8" t="n">
        <v>0.3624</v>
      </c>
      <c r="M47" s="8" t="n">
        <v>1.1445</v>
      </c>
      <c r="N47" s="8" t="n">
        <v>0.8738</v>
      </c>
      <c r="O47" s="8" t="n">
        <v>67.90000000000001</v>
      </c>
    </row>
    <row r="48">
      <c r="A48" s="9" t="n">
        <v>38</v>
      </c>
      <c r="B48" s="9" t="inlineStr">
        <is>
          <t>彭水县</t>
        </is>
      </c>
      <c r="C48" s="9" t="n">
        <v>2.04</v>
      </c>
      <c r="D48" s="9" t="n">
        <v>0</v>
      </c>
      <c r="E48" s="9" t="n">
        <v>75.51000000000001</v>
      </c>
      <c r="F48" s="9" t="n">
        <v>22.45</v>
      </c>
      <c r="G48" s="9" t="n">
        <v>0</v>
      </c>
      <c r="H48" s="9" t="n">
        <v>0.1796</v>
      </c>
      <c r="I48" s="9" t="n">
        <v>0.2</v>
      </c>
      <c r="J48" s="9" t="n">
        <v>0.5551</v>
      </c>
      <c r="K48" s="9" t="n">
        <v>0.0245</v>
      </c>
      <c r="L48" s="9" t="n">
        <v>0.2</v>
      </c>
      <c r="M48" s="9" t="n">
        <v>1.1592</v>
      </c>
      <c r="N48" s="9" t="n">
        <v>0.8627</v>
      </c>
      <c r="O48" s="9" t="n">
        <v>67.77</v>
      </c>
    </row>
    <row r="49">
      <c r="A49" s="8" t="n">
        <v>39</v>
      </c>
      <c r="B49" s="8" t="inlineStr">
        <is>
          <t>北碚区</t>
        </is>
      </c>
      <c r="C49" s="8" t="n">
        <v>0.21</v>
      </c>
      <c r="D49" s="8" t="n">
        <v>0.21</v>
      </c>
      <c r="E49" s="8" t="n">
        <v>98.55</v>
      </c>
      <c r="F49" s="8" t="n">
        <v>0.41</v>
      </c>
      <c r="G49" s="8" t="n">
        <v>0.62</v>
      </c>
      <c r="H49" s="8" t="n">
        <v>0.1979</v>
      </c>
      <c r="I49" s="8" t="n">
        <v>0.1979</v>
      </c>
      <c r="J49" s="8" t="n">
        <v>0.7855</v>
      </c>
      <c r="K49" s="8" t="n">
        <v>0.1959</v>
      </c>
      <c r="L49" s="8" t="n">
        <v>0.1938</v>
      </c>
      <c r="M49" s="8" t="n">
        <v>1.571</v>
      </c>
      <c r="N49" s="8" t="n">
        <v>0.6365</v>
      </c>
      <c r="O49" s="8" t="n">
        <v>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20" customWidth="1" min="7" max="7"/>
    <col width="18" customWidth="1" min="8" max="8"/>
  </cols>
  <sheetData>
    <row r="1">
      <c r="A1" s="5" t="inlineStr">
        <is>
          <t>衡量指标</t>
        </is>
      </c>
      <c r="B1" s="6" t="inlineStr">
        <is>
          <t>公众行为引导-活动传播速度</t>
        </is>
      </c>
    </row>
    <row r="2">
      <c r="A2" s="5" t="inlineStr">
        <is>
          <t>一级权重</t>
        </is>
      </c>
      <c r="B2" s="6" t="inlineStr">
        <is>
          <t>7%</t>
        </is>
      </c>
    </row>
    <row r="3">
      <c r="A3" s="5" t="inlineStr">
        <is>
          <t>二级权重</t>
        </is>
      </c>
      <c r="B3" s="6" t="inlineStr">
        <is>
          <t>30%</t>
        </is>
      </c>
    </row>
    <row r="4">
      <c r="A4" s="5" t="inlineStr">
        <is>
          <t>数据源</t>
        </is>
      </c>
      <c r="B4" s="6" t="inlineStr">
        <is>
          <t>客户 Excel : 列 J(最晚日)/K(最早日)</t>
        </is>
      </c>
    </row>
    <row r="5">
      <c r="A5" s="5" t="inlineStr">
        <is>
          <t>公式</t>
        </is>
      </c>
      <c r="B5" s="6" t="inlineStr">
        <is>
          <t>freq = 活动总数 / (最晚日 − 最早日 + 1)</t>
        </is>
      </c>
    </row>
    <row r="6">
      <c r="A6" s="5" t="inlineStr">
        <is>
          <t>举例</t>
        </is>
      </c>
      <c r="B6" s="6" t="inlineStr">
        <is>
          <t>50 场,首场 2025-02-01,末场 2025-11-30,303 天 → freq=50/303≈0.165</t>
        </is>
      </c>
    </row>
    <row r="7">
      <c r="A7" s="5" t="inlineStr">
        <is>
          <t>区间化</t>
        </is>
      </c>
      <c r="B7" s="6" t="inlineStr">
        <is>
          <t>min-max → [65, 95]</t>
        </is>
      </c>
    </row>
    <row r="8">
      <c r="A8" s="5" t="inlineStr">
        <is>
          <t>排序</t>
        </is>
      </c>
      <c r="B8" s="6" t="inlineStr">
        <is>
          <t>按速度原始值降序</t>
        </is>
      </c>
    </row>
    <row r="10">
      <c r="A10" s="7" t="inlineStr">
        <is>
          <t>排名</t>
        </is>
      </c>
      <c r="B10" s="7" t="inlineStr">
        <is>
          <t>区县</t>
        </is>
      </c>
      <c r="C10" s="7" t="inlineStr">
        <is>
          <t>活动总数</t>
        </is>
      </c>
      <c r="D10" s="7" t="inlineStr">
        <is>
          <t>首发日</t>
        </is>
      </c>
      <c r="E10" s="7" t="inlineStr">
        <is>
          <t>末发日</t>
        </is>
      </c>
      <c r="F10" s="7" t="inlineStr">
        <is>
          <t>跨度天数</t>
        </is>
      </c>
      <c r="G10" s="7" t="inlineStr">
        <is>
          <t>速度原始 (场/天)</t>
        </is>
      </c>
      <c r="H10" s="7" t="inlineStr">
        <is>
          <t>速度得分 (65-95)</t>
        </is>
      </c>
    </row>
    <row r="11">
      <c r="A11" s="8" t="n">
        <v>1</v>
      </c>
      <c r="B11" s="8" t="inlineStr">
        <is>
          <t>綦江区</t>
        </is>
      </c>
      <c r="C11" s="8" t="n">
        <v>2413</v>
      </c>
      <c r="D11" s="8" t="inlineStr">
        <is>
          <t>2025-02-08</t>
        </is>
      </c>
      <c r="E11" s="8" t="inlineStr">
        <is>
          <t>2025-12-05</t>
        </is>
      </c>
      <c r="F11" s="8" t="n">
        <v>301</v>
      </c>
      <c r="G11" s="8" t="n">
        <v>8.0166</v>
      </c>
      <c r="H11" s="8" t="n">
        <v>95</v>
      </c>
    </row>
    <row r="12">
      <c r="A12" s="9" t="n">
        <v>2</v>
      </c>
      <c r="B12" s="9" t="inlineStr">
        <is>
          <t>北碚区</t>
        </is>
      </c>
      <c r="C12" s="9" t="n">
        <v>1447</v>
      </c>
      <c r="D12" s="9" t="inlineStr">
        <is>
          <t>2025-01-17</t>
        </is>
      </c>
      <c r="E12" s="9" t="inlineStr">
        <is>
          <t>2025-12-19</t>
        </is>
      </c>
      <c r="F12" s="9" t="n">
        <v>337</v>
      </c>
      <c r="G12" s="9" t="n">
        <v>4.2938</v>
      </c>
      <c r="H12" s="9" t="n">
        <v>81.03</v>
      </c>
    </row>
    <row r="13">
      <c r="A13" s="8" t="n">
        <v>3</v>
      </c>
      <c r="B13" s="8" t="inlineStr">
        <is>
          <t>两江新区</t>
        </is>
      </c>
      <c r="C13" s="8" t="n">
        <v>120</v>
      </c>
      <c r="D13" s="8" t="inlineStr">
        <is>
          <t>2026-04-10</t>
        </is>
      </c>
      <c r="E13" s="8" t="inlineStr">
        <is>
          <t>2026-12-20</t>
        </is>
      </c>
      <c r="F13" s="8" t="n">
        <v>255</v>
      </c>
      <c r="G13" s="8" t="n">
        <v>0.4706</v>
      </c>
      <c r="H13" s="8" t="n">
        <v>66.68000000000001</v>
      </c>
    </row>
    <row r="14">
      <c r="A14" s="9" t="n">
        <v>4</v>
      </c>
      <c r="B14" s="9" t="inlineStr">
        <is>
          <t>大足区</t>
        </is>
      </c>
      <c r="C14" s="9" t="n">
        <v>148</v>
      </c>
      <c r="D14" s="9" t="inlineStr">
        <is>
          <t>2025-01-20</t>
        </is>
      </c>
      <c r="E14" s="9" t="inlineStr">
        <is>
          <t>2025-11-30</t>
        </is>
      </c>
      <c r="F14" s="9" t="n">
        <v>315</v>
      </c>
      <c r="G14" s="9" t="n">
        <v>0.4698</v>
      </c>
      <c r="H14" s="9" t="n">
        <v>66.68000000000001</v>
      </c>
    </row>
    <row r="15">
      <c r="A15" s="8" t="n">
        <v>5</v>
      </c>
      <c r="B15" s="8" t="inlineStr">
        <is>
          <t>南川区</t>
        </is>
      </c>
      <c r="C15" s="8" t="n">
        <v>136</v>
      </c>
      <c r="D15" s="8" t="inlineStr">
        <is>
          <t>2025-01-01</t>
        </is>
      </c>
      <c r="E15" s="8" t="inlineStr">
        <is>
          <t>2025-12-20</t>
        </is>
      </c>
      <c r="F15" s="8" t="n">
        <v>354</v>
      </c>
      <c r="G15" s="8" t="n">
        <v>0.3842</v>
      </c>
      <c r="H15" s="8" t="n">
        <v>66.36</v>
      </c>
    </row>
    <row r="16">
      <c r="A16" s="9" t="n">
        <v>6</v>
      </c>
      <c r="B16" s="9" t="inlineStr">
        <is>
          <t>城口县</t>
        </is>
      </c>
      <c r="C16" s="9" t="n">
        <v>44</v>
      </c>
      <c r="D16" s="9" t="inlineStr">
        <is>
          <t>2026-05-22</t>
        </is>
      </c>
      <c r="E16" s="9" t="inlineStr">
        <is>
          <t>2026-10-16</t>
        </is>
      </c>
      <c r="F16" s="9" t="n">
        <v>148</v>
      </c>
      <c r="G16" s="9" t="n">
        <v>0.2973</v>
      </c>
      <c r="H16" s="9" t="n">
        <v>66.03</v>
      </c>
    </row>
    <row r="17">
      <c r="A17" s="8" t="n">
        <v>7</v>
      </c>
      <c r="B17" s="8" t="inlineStr">
        <is>
          <t>渝中区</t>
        </is>
      </c>
      <c r="C17" s="8" t="n">
        <v>88</v>
      </c>
      <c r="D17" s="8" t="inlineStr">
        <is>
          <t>2025-02-14</t>
        </is>
      </c>
      <c r="E17" s="8" t="inlineStr">
        <is>
          <t>2025-12-26</t>
        </is>
      </c>
      <c r="F17" s="8" t="n">
        <v>316</v>
      </c>
      <c r="G17" s="8" t="n">
        <v>0.2785</v>
      </c>
      <c r="H17" s="8" t="n">
        <v>65.95999999999999</v>
      </c>
    </row>
    <row r="18">
      <c r="A18" s="9" t="n">
        <v>8</v>
      </c>
      <c r="B18" s="9" t="inlineStr">
        <is>
          <t>酉阳县</t>
        </is>
      </c>
      <c r="C18" s="9" t="n">
        <v>83</v>
      </c>
      <c r="D18" s="9" t="inlineStr">
        <is>
          <t>2026-01-13</t>
        </is>
      </c>
      <c r="E18" s="9" t="inlineStr">
        <is>
          <t>2026-12-05</t>
        </is>
      </c>
      <c r="F18" s="9" t="n">
        <v>327</v>
      </c>
      <c r="G18" s="9" t="n">
        <v>0.2538</v>
      </c>
      <c r="H18" s="9" t="n">
        <v>65.87</v>
      </c>
    </row>
    <row r="19">
      <c r="A19" s="8" t="n">
        <v>9</v>
      </c>
      <c r="B19" s="8" t="inlineStr">
        <is>
          <t>涪陵区</t>
        </is>
      </c>
      <c r="C19" s="8" t="n">
        <v>75</v>
      </c>
      <c r="D19" s="8" t="inlineStr">
        <is>
          <t>2025-02-08</t>
        </is>
      </c>
      <c r="E19" s="8" t="inlineStr">
        <is>
          <t>2025-12-18</t>
        </is>
      </c>
      <c r="F19" s="8" t="n">
        <v>314</v>
      </c>
      <c r="G19" s="8" t="n">
        <v>0.2389</v>
      </c>
      <c r="H19" s="8" t="n">
        <v>65.81</v>
      </c>
    </row>
    <row r="20">
      <c r="A20" s="9" t="n">
        <v>10</v>
      </c>
      <c r="B20" s="9" t="inlineStr">
        <is>
          <t>合川区</t>
        </is>
      </c>
      <c r="C20" s="9" t="n">
        <v>71</v>
      </c>
      <c r="D20" s="9" t="inlineStr">
        <is>
          <t>2025-01-22</t>
        </is>
      </c>
      <c r="E20" s="9" t="inlineStr">
        <is>
          <t>2025-11-25</t>
        </is>
      </c>
      <c r="F20" s="9" t="n">
        <v>308</v>
      </c>
      <c r="G20" s="9" t="n">
        <v>0.2305</v>
      </c>
      <c r="H20" s="9" t="n">
        <v>65.78</v>
      </c>
    </row>
    <row r="21">
      <c r="A21" s="8" t="n">
        <v>11</v>
      </c>
      <c r="B21" s="8" t="inlineStr">
        <is>
          <t>铜梁区</t>
        </is>
      </c>
      <c r="C21" s="8" t="n">
        <v>74</v>
      </c>
      <c r="D21" s="8" t="inlineStr">
        <is>
          <t>2025-01-15</t>
        </is>
      </c>
      <c r="E21" s="8" t="inlineStr">
        <is>
          <t>2025-12-05</t>
        </is>
      </c>
      <c r="F21" s="8" t="n">
        <v>325</v>
      </c>
      <c r="G21" s="8" t="n">
        <v>0.2277</v>
      </c>
      <c r="H21" s="8" t="n">
        <v>65.77</v>
      </c>
    </row>
    <row r="22">
      <c r="A22" s="9" t="n">
        <v>12</v>
      </c>
      <c r="B22" s="9" t="inlineStr">
        <is>
          <t>垫江县</t>
        </is>
      </c>
      <c r="C22" s="9" t="n">
        <v>48</v>
      </c>
      <c r="D22" s="9" t="inlineStr">
        <is>
          <t>2026-03-12</t>
        </is>
      </c>
      <c r="E22" s="9" t="inlineStr">
        <is>
          <t>2026-11-20</t>
        </is>
      </c>
      <c r="F22" s="9" t="n">
        <v>254</v>
      </c>
      <c r="G22" s="9" t="n">
        <v>0.189</v>
      </c>
      <c r="H22" s="9" t="n">
        <v>65.63</v>
      </c>
    </row>
    <row r="23">
      <c r="A23" s="8" t="n">
        <v>13</v>
      </c>
      <c r="B23" s="8" t="inlineStr">
        <is>
          <t>黔江区</t>
        </is>
      </c>
      <c r="C23" s="8" t="n">
        <v>43</v>
      </c>
      <c r="D23" s="8" t="inlineStr">
        <is>
          <t>2025-04-09</t>
        </is>
      </c>
      <c r="E23" s="8" t="inlineStr">
        <is>
          <t>2025-12-31</t>
        </is>
      </c>
      <c r="F23" s="8" t="n">
        <v>267</v>
      </c>
      <c r="G23" s="8" t="n">
        <v>0.161</v>
      </c>
      <c r="H23" s="8" t="n">
        <v>65.52</v>
      </c>
    </row>
    <row r="24">
      <c r="A24" s="9" t="n">
        <v>14</v>
      </c>
      <c r="B24" s="9" t="inlineStr">
        <is>
          <t>秀山县</t>
        </is>
      </c>
      <c r="C24" s="9" t="n">
        <v>47</v>
      </c>
      <c r="D24" s="9" t="inlineStr">
        <is>
          <t>2026-02-02</t>
        </is>
      </c>
      <c r="E24" s="9" t="inlineStr">
        <is>
          <t>2026-12-12</t>
        </is>
      </c>
      <c r="F24" s="9" t="n">
        <v>314</v>
      </c>
      <c r="G24" s="9" t="n">
        <v>0.1497</v>
      </c>
      <c r="H24" s="9" t="n">
        <v>65.48</v>
      </c>
    </row>
    <row r="25">
      <c r="A25" s="8" t="n">
        <v>15</v>
      </c>
      <c r="B25" s="8" t="inlineStr">
        <is>
          <t>彭水县</t>
        </is>
      </c>
      <c r="C25" s="8" t="n">
        <v>49</v>
      </c>
      <c r="D25" s="8" t="inlineStr">
        <is>
          <t>2026-01-06</t>
        </is>
      </c>
      <c r="E25" s="8" t="inlineStr">
        <is>
          <t>2026-12-19</t>
        </is>
      </c>
      <c r="F25" s="8" t="n">
        <v>348</v>
      </c>
      <c r="G25" s="8" t="n">
        <v>0.1408</v>
      </c>
      <c r="H25" s="8" t="n">
        <v>65.45</v>
      </c>
    </row>
    <row r="26">
      <c r="A26" s="9" t="n">
        <v>16</v>
      </c>
      <c r="B26" s="9" t="inlineStr">
        <is>
          <t>沙坪坝区</t>
        </is>
      </c>
      <c r="C26" s="9" t="n">
        <v>44</v>
      </c>
      <c r="D26" s="9" t="inlineStr">
        <is>
          <t>2025-01-01</t>
        </is>
      </c>
      <c r="E26" s="9" t="inlineStr">
        <is>
          <t>2025-12-01</t>
        </is>
      </c>
      <c r="F26" s="9" t="n">
        <v>335</v>
      </c>
      <c r="G26" s="9" t="n">
        <v>0.1313</v>
      </c>
      <c r="H26" s="9" t="n">
        <v>65.41</v>
      </c>
    </row>
    <row r="27">
      <c r="A27" s="8" t="n">
        <v>17</v>
      </c>
      <c r="B27" s="8" t="inlineStr">
        <is>
          <t>巫溪县</t>
        </is>
      </c>
      <c r="C27" s="8" t="n">
        <v>38</v>
      </c>
      <c r="D27" s="8" t="inlineStr">
        <is>
          <t>2026-02-28</t>
        </is>
      </c>
      <c r="E27" s="8" t="inlineStr">
        <is>
          <t>2026-12-25</t>
        </is>
      </c>
      <c r="F27" s="8" t="n">
        <v>301</v>
      </c>
      <c r="G27" s="8" t="n">
        <v>0.1262</v>
      </c>
      <c r="H27" s="8" t="n">
        <v>65.39</v>
      </c>
    </row>
    <row r="28">
      <c r="A28" s="9" t="n">
        <v>18</v>
      </c>
      <c r="B28" s="9" t="inlineStr">
        <is>
          <t>石柱县</t>
        </is>
      </c>
      <c r="C28" s="9" t="n">
        <v>39</v>
      </c>
      <c r="D28" s="9" t="inlineStr">
        <is>
          <t>2026-02-19</t>
        </is>
      </c>
      <c r="E28" s="9" t="inlineStr">
        <is>
          <t>2026-12-30</t>
        </is>
      </c>
      <c r="F28" s="9" t="n">
        <v>315</v>
      </c>
      <c r="G28" s="9" t="n">
        <v>0.1238</v>
      </c>
      <c r="H28" s="9" t="n">
        <v>65.38</v>
      </c>
    </row>
    <row r="29">
      <c r="A29" s="8" t="n">
        <v>19</v>
      </c>
      <c r="B29" s="8" t="inlineStr">
        <is>
          <t>永川区</t>
        </is>
      </c>
      <c r="C29" s="8" t="n">
        <v>33</v>
      </c>
      <c r="D29" s="8" t="inlineStr">
        <is>
          <t>2025-02-28</t>
        </is>
      </c>
      <c r="E29" s="8" t="inlineStr">
        <is>
          <t>2025-12-10</t>
        </is>
      </c>
      <c r="F29" s="8" t="n">
        <v>286</v>
      </c>
      <c r="G29" s="8" t="n">
        <v>0.1154</v>
      </c>
      <c r="H29" s="8" t="n">
        <v>65.34999999999999</v>
      </c>
    </row>
    <row r="30">
      <c r="A30" s="9" t="n">
        <v>20</v>
      </c>
      <c r="B30" s="9" t="inlineStr">
        <is>
          <t>南岸区</t>
        </is>
      </c>
      <c r="C30" s="9" t="n">
        <v>31</v>
      </c>
      <c r="D30" s="9" t="inlineStr">
        <is>
          <t>2025-01-13</t>
        </is>
      </c>
      <c r="E30" s="9" t="inlineStr">
        <is>
          <t>2025-10-13</t>
        </is>
      </c>
      <c r="F30" s="9" t="n">
        <v>274</v>
      </c>
      <c r="G30" s="9" t="n">
        <v>0.1131</v>
      </c>
      <c r="H30" s="9" t="n">
        <v>65.34</v>
      </c>
    </row>
    <row r="31">
      <c r="A31" s="8" t="n">
        <v>21</v>
      </c>
      <c r="B31" s="8" t="inlineStr">
        <is>
          <t>万盛经开区</t>
        </is>
      </c>
      <c r="C31" s="8" t="n">
        <v>28</v>
      </c>
      <c r="D31" s="8" t="inlineStr">
        <is>
          <t>2026-01-13</t>
        </is>
      </c>
      <c r="E31" s="8" t="inlineStr">
        <is>
          <t>2026-10-11</t>
        </is>
      </c>
      <c r="F31" s="8" t="n">
        <v>272</v>
      </c>
      <c r="G31" s="8" t="n">
        <v>0.1029</v>
      </c>
      <c r="H31" s="8" t="n">
        <v>65.3</v>
      </c>
    </row>
    <row r="32">
      <c r="A32" s="9" t="n">
        <v>22</v>
      </c>
      <c r="B32" s="9" t="inlineStr">
        <is>
          <t>忠县</t>
        </is>
      </c>
      <c r="C32" s="9" t="n">
        <v>32</v>
      </c>
      <c r="D32" s="9" t="inlineStr">
        <is>
          <t>2026-01-22</t>
        </is>
      </c>
      <c r="E32" s="9" t="inlineStr">
        <is>
          <t>2026-12-08</t>
        </is>
      </c>
      <c r="F32" s="9" t="n">
        <v>321</v>
      </c>
      <c r="G32" s="9" t="n">
        <v>0.0997</v>
      </c>
      <c r="H32" s="9" t="n">
        <v>65.29000000000001</v>
      </c>
    </row>
    <row r="33">
      <c r="A33" s="8" t="n">
        <v>23</v>
      </c>
      <c r="B33" s="8" t="inlineStr">
        <is>
          <t>梁平区</t>
        </is>
      </c>
      <c r="C33" s="8" t="n">
        <v>30</v>
      </c>
      <c r="D33" s="8" t="inlineStr">
        <is>
          <t>2026-02-26</t>
        </is>
      </c>
      <c r="E33" s="8" t="inlineStr">
        <is>
          <t>2026-12-26</t>
        </is>
      </c>
      <c r="F33" s="8" t="n">
        <v>304</v>
      </c>
      <c r="G33" s="8" t="n">
        <v>0.0987</v>
      </c>
      <c r="H33" s="8" t="n">
        <v>65.29000000000001</v>
      </c>
    </row>
    <row r="34">
      <c r="A34" s="9" t="n">
        <v>24</v>
      </c>
      <c r="B34" s="9" t="inlineStr">
        <is>
          <t>潼南区</t>
        </is>
      </c>
      <c r="C34" s="9" t="n">
        <v>29</v>
      </c>
      <c r="D34" s="9" t="inlineStr">
        <is>
          <t>2026-02-27</t>
        </is>
      </c>
      <c r="E34" s="9" t="inlineStr">
        <is>
          <t>2026-12-30</t>
        </is>
      </c>
      <c r="F34" s="9" t="n">
        <v>307</v>
      </c>
      <c r="G34" s="9" t="n">
        <v>0.0945</v>
      </c>
      <c r="H34" s="9" t="n">
        <v>65.27</v>
      </c>
    </row>
    <row r="35">
      <c r="A35" s="8" t="n">
        <v>25</v>
      </c>
      <c r="B35" s="8" t="inlineStr">
        <is>
          <t>云阳县</t>
        </is>
      </c>
      <c r="C35" s="8" t="n">
        <v>28</v>
      </c>
      <c r="D35" s="8" t="inlineStr">
        <is>
          <t>2026-02-28</t>
        </is>
      </c>
      <c r="E35" s="8" t="inlineStr">
        <is>
          <t>2026-12-27</t>
        </is>
      </c>
      <c r="F35" s="8" t="n">
        <v>303</v>
      </c>
      <c r="G35" s="8" t="n">
        <v>0.0924</v>
      </c>
      <c r="H35" s="8" t="n">
        <v>65.26000000000001</v>
      </c>
    </row>
    <row r="36">
      <c r="A36" s="9" t="n">
        <v>26</v>
      </c>
      <c r="B36" s="9" t="inlineStr">
        <is>
          <t>丰都县</t>
        </is>
      </c>
      <c r="C36" s="9" t="n">
        <v>24</v>
      </c>
      <c r="D36" s="9" t="inlineStr">
        <is>
          <t>2026-02-19</t>
        </is>
      </c>
      <c r="E36" s="9" t="inlineStr">
        <is>
          <t>2026-12-26</t>
        </is>
      </c>
      <c r="F36" s="9" t="n">
        <v>311</v>
      </c>
      <c r="G36" s="9" t="n">
        <v>0.0772</v>
      </c>
      <c r="H36" s="9" t="n">
        <v>65.20999999999999</v>
      </c>
    </row>
    <row r="37">
      <c r="A37" s="8" t="n">
        <v>27</v>
      </c>
      <c r="B37" s="8" t="inlineStr">
        <is>
          <t>奉节县</t>
        </is>
      </c>
      <c r="C37" s="8" t="n">
        <v>26</v>
      </c>
      <c r="D37" s="8" t="inlineStr">
        <is>
          <t>2026-01-16</t>
        </is>
      </c>
      <c r="E37" s="8" t="inlineStr">
        <is>
          <t>2026-12-29</t>
        </is>
      </c>
      <c r="F37" s="8" t="n">
        <v>348</v>
      </c>
      <c r="G37" s="8" t="n">
        <v>0.0747</v>
      </c>
      <c r="H37" s="8" t="n">
        <v>65.2</v>
      </c>
    </row>
    <row r="38">
      <c r="A38" s="9" t="n">
        <v>28</v>
      </c>
      <c r="B38" s="9" t="inlineStr">
        <is>
          <t>江津区</t>
        </is>
      </c>
      <c r="C38" s="9" t="n">
        <v>21</v>
      </c>
      <c r="D38" s="9" t="inlineStr">
        <is>
          <t>2025-02-20</t>
        </is>
      </c>
      <c r="E38" s="9" t="inlineStr">
        <is>
          <t>2025-12-01</t>
        </is>
      </c>
      <c r="F38" s="9" t="n">
        <v>285</v>
      </c>
      <c r="G38" s="9" t="n">
        <v>0.0737</v>
      </c>
      <c r="H38" s="9" t="n">
        <v>65.19</v>
      </c>
    </row>
    <row r="39">
      <c r="A39" s="8" t="n">
        <v>29</v>
      </c>
      <c r="B39" s="8" t="inlineStr">
        <is>
          <t>武隆区</t>
        </is>
      </c>
      <c r="C39" s="8" t="n">
        <v>17</v>
      </c>
      <c r="D39" s="8" t="inlineStr">
        <is>
          <t>2026-03-22</t>
        </is>
      </c>
      <c r="E39" s="8" t="inlineStr">
        <is>
          <t>2026-11-14</t>
        </is>
      </c>
      <c r="F39" s="8" t="n">
        <v>238</v>
      </c>
      <c r="G39" s="8" t="n">
        <v>0.07140000000000001</v>
      </c>
      <c r="H39" s="8" t="n">
        <v>65.19</v>
      </c>
    </row>
    <row r="40">
      <c r="A40" s="9" t="n">
        <v>30</v>
      </c>
      <c r="B40" s="9" t="inlineStr">
        <is>
          <t>巫山县</t>
        </is>
      </c>
      <c r="C40" s="9" t="n">
        <v>20</v>
      </c>
      <c r="D40" s="9" t="inlineStr">
        <is>
          <t>2026-03-10</t>
        </is>
      </c>
      <c r="E40" s="9" t="inlineStr">
        <is>
          <t>2026-12-22</t>
        </is>
      </c>
      <c r="F40" s="9" t="n">
        <v>288</v>
      </c>
      <c r="G40" s="9" t="n">
        <v>0.0694</v>
      </c>
      <c r="H40" s="9" t="n">
        <v>65.18000000000001</v>
      </c>
    </row>
    <row r="41">
      <c r="A41" s="8" t="n">
        <v>31</v>
      </c>
      <c r="B41" s="8" t="inlineStr">
        <is>
          <t>巴南区</t>
        </is>
      </c>
      <c r="C41" s="8" t="n">
        <v>21</v>
      </c>
      <c r="D41" s="8" t="inlineStr">
        <is>
          <t>2025-02-27</t>
        </is>
      </c>
      <c r="E41" s="8" t="inlineStr">
        <is>
          <t>2025-12-26</t>
        </is>
      </c>
      <c r="F41" s="8" t="n">
        <v>303</v>
      </c>
      <c r="G41" s="8" t="n">
        <v>0.0693</v>
      </c>
      <c r="H41" s="8" t="n">
        <v>65.18000000000001</v>
      </c>
    </row>
    <row r="42">
      <c r="A42" s="9" t="n">
        <v>32</v>
      </c>
      <c r="B42" s="9" t="inlineStr">
        <is>
          <t>万州区</t>
        </is>
      </c>
      <c r="C42" s="9" t="n">
        <v>12</v>
      </c>
      <c r="D42" s="9" t="inlineStr">
        <is>
          <t>2025-06-01</t>
        </is>
      </c>
      <c r="E42" s="9" t="inlineStr">
        <is>
          <t>2025-12-04</t>
        </is>
      </c>
      <c r="F42" s="9" t="n">
        <v>187</v>
      </c>
      <c r="G42" s="9" t="n">
        <v>0.06419999999999999</v>
      </c>
      <c r="H42" s="9" t="n">
        <v>65.16</v>
      </c>
    </row>
    <row r="43">
      <c r="A43" s="8" t="n">
        <v>33</v>
      </c>
      <c r="B43" s="8" t="inlineStr">
        <is>
          <t>开州区</t>
        </is>
      </c>
      <c r="C43" s="8" t="n">
        <v>18</v>
      </c>
      <c r="D43" s="8" t="inlineStr">
        <is>
          <t>2026-02-18</t>
        </is>
      </c>
      <c r="E43" s="8" t="inlineStr">
        <is>
          <t>2026-12-04</t>
        </is>
      </c>
      <c r="F43" s="8" t="n">
        <v>290</v>
      </c>
      <c r="G43" s="8" t="n">
        <v>0.0621</v>
      </c>
      <c r="H43" s="8" t="n">
        <v>65.15000000000001</v>
      </c>
    </row>
    <row r="44">
      <c r="A44" s="9" t="n">
        <v>34</v>
      </c>
      <c r="B44" s="9" t="inlineStr">
        <is>
          <t>荣昌区</t>
        </is>
      </c>
      <c r="C44" s="9" t="n">
        <v>17</v>
      </c>
      <c r="D44" s="9" t="inlineStr">
        <is>
          <t>2026-02-14</t>
        </is>
      </c>
      <c r="E44" s="9" t="inlineStr">
        <is>
          <t>2026-12-17</t>
        </is>
      </c>
      <c r="F44" s="9" t="n">
        <v>307</v>
      </c>
      <c r="G44" s="9" t="n">
        <v>0.0554</v>
      </c>
      <c r="H44" s="9" t="n">
        <v>65.12</v>
      </c>
    </row>
    <row r="45">
      <c r="A45" s="8" t="n">
        <v>35</v>
      </c>
      <c r="B45" s="8" t="inlineStr">
        <is>
          <t>九龙坡区</t>
        </is>
      </c>
      <c r="C45" s="8" t="n">
        <v>15</v>
      </c>
      <c r="D45" s="8" t="inlineStr">
        <is>
          <t>2025-03-22</t>
        </is>
      </c>
      <c r="E45" s="8" t="inlineStr">
        <is>
          <t>2025-12-25</t>
        </is>
      </c>
      <c r="F45" s="8" t="n">
        <v>279</v>
      </c>
      <c r="G45" s="8" t="n">
        <v>0.0538</v>
      </c>
      <c r="H45" s="8" t="n">
        <v>65.12</v>
      </c>
    </row>
    <row r="46">
      <c r="A46" s="9" t="n">
        <v>36</v>
      </c>
      <c r="B46" s="9" t="inlineStr">
        <is>
          <t>大渡口区</t>
        </is>
      </c>
      <c r="C46" s="9" t="n">
        <v>29</v>
      </c>
      <c r="D46" s="9" t="inlineStr">
        <is>
          <t>2025-02-27</t>
        </is>
      </c>
      <c r="E46" s="9" t="inlineStr">
        <is>
          <t>2026-12-26</t>
        </is>
      </c>
      <c r="F46" s="9" t="n">
        <v>668</v>
      </c>
      <c r="G46" s="9" t="n">
        <v>0.0434</v>
      </c>
      <c r="H46" s="9" t="n">
        <v>65.08</v>
      </c>
    </row>
    <row r="47">
      <c r="A47" s="8" t="n">
        <v>37</v>
      </c>
      <c r="B47" s="8" t="inlineStr">
        <is>
          <t>璧山区</t>
        </is>
      </c>
      <c r="C47" s="8" t="n">
        <v>10</v>
      </c>
      <c r="D47" s="8" t="inlineStr">
        <is>
          <t>2025-01-01</t>
        </is>
      </c>
      <c r="E47" s="8" t="inlineStr">
        <is>
          <t>2025-12-01</t>
        </is>
      </c>
      <c r="F47" s="8" t="n">
        <v>335</v>
      </c>
      <c r="G47" s="8" t="n">
        <v>0.0299</v>
      </c>
      <c r="H47" s="8" t="n">
        <v>65.03</v>
      </c>
    </row>
    <row r="48">
      <c r="A48" s="9" t="n">
        <v>38</v>
      </c>
      <c r="B48" s="9" t="inlineStr">
        <is>
          <t>长寿区</t>
        </is>
      </c>
      <c r="C48" s="9" t="n">
        <v>9</v>
      </c>
      <c r="D48" s="9" t="inlineStr">
        <is>
          <t>2025-01-17</t>
        </is>
      </c>
      <c r="E48" s="9" t="inlineStr">
        <is>
          <t>2025-12-01</t>
        </is>
      </c>
      <c r="F48" s="9" t="n">
        <v>319</v>
      </c>
      <c r="G48" s="9" t="n">
        <v>0.0282</v>
      </c>
      <c r="H48" s="9" t="n">
        <v>65.02</v>
      </c>
    </row>
    <row r="49">
      <c r="A49" s="8" t="n">
        <v>39</v>
      </c>
      <c r="B49" s="8" t="inlineStr">
        <is>
          <t>科学城重庆高新区</t>
        </is>
      </c>
      <c r="C49" s="8" t="n">
        <v>4</v>
      </c>
      <c r="D49" s="8" t="inlineStr">
        <is>
          <t>2026-06-03</t>
        </is>
      </c>
      <c r="E49" s="8" t="inlineStr">
        <is>
          <t>2026-11-30</t>
        </is>
      </c>
      <c r="F49" s="8" t="n">
        <v>181</v>
      </c>
      <c r="G49" s="8" t="n">
        <v>0.0221</v>
      </c>
      <c r="H49" s="8" t="n">
        <v>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</cols>
  <sheetData>
    <row r="1">
      <c r="A1" s="5" t="inlineStr">
        <is>
          <t>【说明】</t>
        </is>
      </c>
      <c r="B1" s="6" t="inlineStr">
        <is>
          <t>5 维一级 × 权重 → 综合分,每个中间值可校验</t>
        </is>
      </c>
    </row>
    <row r="2">
      <c r="A2" s="5" t="inlineStr">
        <is>
          <t>一级公式</t>
        </is>
      </c>
      <c r="B2" s="6" t="inlineStr">
        <is>
          <t>tier = 数量得分×0.40 + 丰富度得分×0.30 + 速度得分×0.30</t>
        </is>
      </c>
    </row>
    <row r="3">
      <c r="A3" s="5" t="inlineStr">
        <is>
          <t>综合公式</t>
        </is>
      </c>
      <c r="B3" s="6" t="inlineStr">
        <is>
          <t>综合 = 中央×0.45 + 行业×0.25 + 市级×0.15 + 区县×0.08 + 公众×0.07</t>
        </is>
      </c>
    </row>
    <row r="4">
      <c r="A4" s="5" t="inlineStr">
        <is>
          <t>数据范围</t>
        </is>
      </c>
      <c r="B4" s="6" t="inlineStr">
        <is>
          <t>严格按 xlsx 收敛: 中央 4 + 行业 2 + 市级 6 + 区县 82 + 公众 39 区县活动</t>
        </is>
      </c>
    </row>
    <row r="6">
      <c r="A6" s="7" t="inlineStr">
        <is>
          <t>排名</t>
        </is>
      </c>
      <c r="B6" s="7" t="inlineStr">
        <is>
          <t>区县</t>
        </is>
      </c>
      <c r="C6" s="7" t="inlineStr">
        <is>
          <t>中央 (45%)</t>
        </is>
      </c>
      <c r="D6" s="7" t="inlineStr">
        <is>
          <t>行业 (25%)</t>
        </is>
      </c>
      <c r="E6" s="7" t="inlineStr">
        <is>
          <t>市级 (15%)</t>
        </is>
      </c>
      <c r="F6" s="7" t="inlineStr">
        <is>
          <t>区县 (8%)</t>
        </is>
      </c>
      <c r="G6" s="7" t="inlineStr">
        <is>
          <t>公众 (7%)</t>
        </is>
      </c>
      <c r="H6" s="7" t="inlineStr">
        <is>
          <t>中央×0.45</t>
        </is>
      </c>
      <c r="I6" s="7" t="inlineStr">
        <is>
          <t>行业×0.25</t>
        </is>
      </c>
      <c r="J6" s="7" t="inlineStr">
        <is>
          <t>市级×0.15</t>
        </is>
      </c>
      <c r="K6" s="7" t="inlineStr">
        <is>
          <t>区县×0.08</t>
        </is>
      </c>
      <c r="L6" s="7" t="inlineStr">
        <is>
          <t>公众×0.07</t>
        </is>
      </c>
      <c r="M6" s="7" t="inlineStr">
        <is>
          <t>综合得分 (合计)</t>
        </is>
      </c>
    </row>
    <row r="7">
      <c r="A7" s="8" t="n">
        <v>1</v>
      </c>
      <c r="B7" s="8" t="inlineStr">
        <is>
          <t>两江新区</t>
        </is>
      </c>
      <c r="C7" s="8" t="n">
        <v>83.28</v>
      </c>
      <c r="D7" s="8" t="n">
        <v>91.26000000000001</v>
      </c>
      <c r="E7" s="8" t="n">
        <v>95</v>
      </c>
      <c r="F7" s="8" t="n">
        <v>83.95999999999999</v>
      </c>
      <c r="G7" s="8" t="n">
        <v>67.81999999999999</v>
      </c>
      <c r="H7" s="8" t="n">
        <v>37.476</v>
      </c>
      <c r="I7" s="8" t="n">
        <v>22.815</v>
      </c>
      <c r="J7" s="8" t="n">
        <v>14.25</v>
      </c>
      <c r="K7" s="8" t="n">
        <v>6.717</v>
      </c>
      <c r="L7" s="8" t="n">
        <v>4.748</v>
      </c>
      <c r="M7" s="8" t="n">
        <v>86.01000000000001</v>
      </c>
    </row>
    <row r="8">
      <c r="A8" s="9" t="n">
        <v>2</v>
      </c>
      <c r="B8" s="9" t="inlineStr">
        <is>
          <t>涪陵区</t>
        </is>
      </c>
      <c r="C8" s="9" t="n">
        <v>85.31</v>
      </c>
      <c r="D8" s="9" t="n">
        <v>80.25</v>
      </c>
      <c r="E8" s="9" t="n">
        <v>77.22</v>
      </c>
      <c r="F8" s="9" t="n">
        <v>88.31999999999999</v>
      </c>
      <c r="G8" s="9" t="n">
        <v>69</v>
      </c>
      <c r="H8" s="9" t="n">
        <v>38.389</v>
      </c>
      <c r="I8" s="9" t="n">
        <v>20.063</v>
      </c>
      <c r="J8" s="9" t="n">
        <v>11.582</v>
      </c>
      <c r="K8" s="9" t="n">
        <v>7.066</v>
      </c>
      <c r="L8" s="9" t="n">
        <v>4.83</v>
      </c>
      <c r="M8" s="9" t="n">
        <v>81.93000000000001</v>
      </c>
    </row>
    <row r="9">
      <c r="A9" s="8" t="n">
        <v>3</v>
      </c>
      <c r="B9" s="8" t="inlineStr">
        <is>
          <t>南岸区</t>
        </is>
      </c>
      <c r="C9" s="8" t="n">
        <v>83.42</v>
      </c>
      <c r="D9" s="8" t="n">
        <v>84.02</v>
      </c>
      <c r="E9" s="8" t="n">
        <v>76.06999999999999</v>
      </c>
      <c r="F9" s="8" t="n">
        <v>81.45999999999999</v>
      </c>
      <c r="G9" s="8" t="n">
        <v>68.27</v>
      </c>
      <c r="H9" s="8" t="n">
        <v>37.54</v>
      </c>
      <c r="I9" s="8" t="n">
        <v>21.004</v>
      </c>
      <c r="J9" s="8" t="n">
        <v>11.411</v>
      </c>
      <c r="K9" s="8" t="n">
        <v>6.517</v>
      </c>
      <c r="L9" s="8" t="n">
        <v>4.779</v>
      </c>
      <c r="M9" s="8" t="n">
        <v>81.25</v>
      </c>
    </row>
    <row r="10">
      <c r="A10" s="9" t="n">
        <v>4</v>
      </c>
      <c r="B10" s="9" t="inlineStr">
        <is>
          <t>渝中区</t>
        </is>
      </c>
      <c r="C10" s="9" t="n">
        <v>80.40000000000001</v>
      </c>
      <c r="D10" s="9" t="n">
        <v>83.56</v>
      </c>
      <c r="E10" s="9" t="n">
        <v>81.31</v>
      </c>
      <c r="F10" s="9" t="n">
        <v>87.28</v>
      </c>
      <c r="G10" s="9" t="n">
        <v>68.01000000000001</v>
      </c>
      <c r="H10" s="9" t="n">
        <v>36.181</v>
      </c>
      <c r="I10" s="9" t="n">
        <v>20.889</v>
      </c>
      <c r="J10" s="9" t="n">
        <v>12.196</v>
      </c>
      <c r="K10" s="9" t="n">
        <v>6.983</v>
      </c>
      <c r="L10" s="9" t="n">
        <v>4.761</v>
      </c>
      <c r="M10" s="9" t="n">
        <v>81.01000000000001</v>
      </c>
    </row>
    <row r="11">
      <c r="A11" s="8" t="n">
        <v>5</v>
      </c>
      <c r="B11" s="8" t="inlineStr">
        <is>
          <t>长寿区</t>
        </is>
      </c>
      <c r="C11" s="8" t="n">
        <v>87.52</v>
      </c>
      <c r="D11" s="8" t="n">
        <v>76.22</v>
      </c>
      <c r="E11" s="8" t="n">
        <v>70.39</v>
      </c>
      <c r="F11" s="8" t="n">
        <v>79.5</v>
      </c>
      <c r="G11" s="8" t="n">
        <v>73.02</v>
      </c>
      <c r="H11" s="8" t="n">
        <v>39.385</v>
      </c>
      <c r="I11" s="8" t="n">
        <v>19.055</v>
      </c>
      <c r="J11" s="8" t="n">
        <v>10.559</v>
      </c>
      <c r="K11" s="8" t="n">
        <v>6.36</v>
      </c>
      <c r="L11" s="8" t="n">
        <v>5.111</v>
      </c>
      <c r="M11" s="8" t="n">
        <v>80.47</v>
      </c>
    </row>
    <row r="12">
      <c r="A12" s="9" t="n">
        <v>6</v>
      </c>
      <c r="B12" s="9" t="inlineStr">
        <is>
          <t>北碚区</t>
        </is>
      </c>
      <c r="C12" s="9" t="n">
        <v>77.73999999999999</v>
      </c>
      <c r="D12" s="9" t="n">
        <v>87.25</v>
      </c>
      <c r="E12" s="9" t="n">
        <v>74.27</v>
      </c>
      <c r="F12" s="9" t="n">
        <v>73.33</v>
      </c>
      <c r="G12" s="9" t="n">
        <v>77</v>
      </c>
      <c r="H12" s="9" t="n">
        <v>34.982</v>
      </c>
      <c r="I12" s="9" t="n">
        <v>21.812</v>
      </c>
      <c r="J12" s="9" t="n">
        <v>11.141</v>
      </c>
      <c r="K12" s="9" t="n">
        <v>5.866</v>
      </c>
      <c r="L12" s="9" t="n">
        <v>5.39</v>
      </c>
      <c r="M12" s="9" t="n">
        <v>79.19</v>
      </c>
    </row>
    <row r="13">
      <c r="A13" s="8" t="n">
        <v>7</v>
      </c>
      <c r="B13" s="8" t="inlineStr">
        <is>
          <t>开州区</t>
        </is>
      </c>
      <c r="C13" s="8" t="n">
        <v>81.63</v>
      </c>
      <c r="D13" s="8" t="n">
        <v>81.59</v>
      </c>
      <c r="E13" s="8" t="n">
        <v>74.56</v>
      </c>
      <c r="F13" s="8" t="n">
        <v>76.31999999999999</v>
      </c>
      <c r="G13" s="8" t="n">
        <v>67.64</v>
      </c>
      <c r="H13" s="8" t="n">
        <v>36.731</v>
      </c>
      <c r="I13" s="8" t="n">
        <v>20.398</v>
      </c>
      <c r="J13" s="8" t="n">
        <v>11.184</v>
      </c>
      <c r="K13" s="8" t="n">
        <v>6.105</v>
      </c>
      <c r="L13" s="8" t="n">
        <v>4.735</v>
      </c>
      <c r="M13" s="8" t="n">
        <v>79.15000000000001</v>
      </c>
    </row>
    <row r="14">
      <c r="A14" s="9" t="n">
        <v>8</v>
      </c>
      <c r="B14" s="9" t="inlineStr">
        <is>
          <t>巴南区</t>
        </is>
      </c>
      <c r="C14" s="9" t="n">
        <v>81.09</v>
      </c>
      <c r="D14" s="9" t="n">
        <v>79.34</v>
      </c>
      <c r="E14" s="9" t="n">
        <v>77.06</v>
      </c>
      <c r="F14" s="9" t="n">
        <v>75.81999999999999</v>
      </c>
      <c r="G14" s="9" t="n">
        <v>74.14</v>
      </c>
      <c r="H14" s="9" t="n">
        <v>36.491</v>
      </c>
      <c r="I14" s="9" t="n">
        <v>19.835</v>
      </c>
      <c r="J14" s="9" t="n">
        <v>11.559</v>
      </c>
      <c r="K14" s="9" t="n">
        <v>6.065</v>
      </c>
      <c r="L14" s="9" t="n">
        <v>5.19</v>
      </c>
      <c r="M14" s="9" t="n">
        <v>79.14</v>
      </c>
    </row>
    <row r="15">
      <c r="A15" s="8" t="n">
        <v>9</v>
      </c>
      <c r="B15" s="8" t="inlineStr">
        <is>
          <t>万州区</t>
        </is>
      </c>
      <c r="C15" s="8" t="n">
        <v>76.75</v>
      </c>
      <c r="D15" s="8" t="n">
        <v>83.31999999999999</v>
      </c>
      <c r="E15" s="8" t="n">
        <v>74.90000000000001</v>
      </c>
      <c r="F15" s="8" t="n">
        <v>76.61</v>
      </c>
      <c r="G15" s="8" t="n">
        <v>69.63</v>
      </c>
      <c r="H15" s="8" t="n">
        <v>34.537</v>
      </c>
      <c r="I15" s="8" t="n">
        <v>20.829</v>
      </c>
      <c r="J15" s="8" t="n">
        <v>11.236</v>
      </c>
      <c r="K15" s="8" t="n">
        <v>6.129</v>
      </c>
      <c r="L15" s="8" t="n">
        <v>4.874</v>
      </c>
      <c r="M15" s="8" t="n">
        <v>77.59999999999999</v>
      </c>
    </row>
    <row r="16">
      <c r="A16" s="9" t="n">
        <v>10</v>
      </c>
      <c r="B16" s="9" t="inlineStr">
        <is>
          <t>永川区</t>
        </is>
      </c>
      <c r="C16" s="9" t="n">
        <v>77.08</v>
      </c>
      <c r="D16" s="9" t="n">
        <v>78.81</v>
      </c>
      <c r="E16" s="9" t="n">
        <v>75.40000000000001</v>
      </c>
      <c r="F16" s="9" t="n">
        <v>81.95999999999999</v>
      </c>
      <c r="G16" s="9" t="n">
        <v>70.68000000000001</v>
      </c>
      <c r="H16" s="9" t="n">
        <v>34.685</v>
      </c>
      <c r="I16" s="9" t="n">
        <v>19.703</v>
      </c>
      <c r="J16" s="9" t="n">
        <v>11.31</v>
      </c>
      <c r="K16" s="9" t="n">
        <v>6.557</v>
      </c>
      <c r="L16" s="9" t="n">
        <v>4.947</v>
      </c>
      <c r="M16" s="9" t="n">
        <v>77.2</v>
      </c>
    </row>
    <row r="17">
      <c r="A17" s="8" t="n">
        <v>11</v>
      </c>
      <c r="B17" s="8" t="inlineStr">
        <is>
          <t>巫山县</t>
        </is>
      </c>
      <c r="C17" s="8" t="n">
        <v>78.98999999999999</v>
      </c>
      <c r="D17" s="8" t="n">
        <v>76.18000000000001</v>
      </c>
      <c r="E17" s="8" t="n">
        <v>75.79000000000001</v>
      </c>
      <c r="F17" s="8" t="n">
        <v>81.17</v>
      </c>
      <c r="G17" s="8" t="n">
        <v>67.38</v>
      </c>
      <c r="H17" s="8" t="n">
        <v>35.545</v>
      </c>
      <c r="I17" s="8" t="n">
        <v>19.045</v>
      </c>
      <c r="J17" s="8" t="n">
        <v>11.368</v>
      </c>
      <c r="K17" s="8" t="n">
        <v>6.494</v>
      </c>
      <c r="L17" s="8" t="n">
        <v>4.717</v>
      </c>
      <c r="M17" s="8" t="n">
        <v>77.17</v>
      </c>
    </row>
    <row r="18">
      <c r="A18" s="9" t="n">
        <v>12</v>
      </c>
      <c r="B18" s="9" t="inlineStr">
        <is>
          <t>九龙坡区</t>
        </is>
      </c>
      <c r="C18" s="9" t="n">
        <v>77.37</v>
      </c>
      <c r="D18" s="9" t="n">
        <v>76.91</v>
      </c>
      <c r="E18" s="9" t="n">
        <v>77.73999999999999</v>
      </c>
      <c r="F18" s="9" t="n">
        <v>80.78</v>
      </c>
      <c r="G18" s="9" t="n">
        <v>69.64</v>
      </c>
      <c r="H18" s="9" t="n">
        <v>34.816</v>
      </c>
      <c r="I18" s="9" t="n">
        <v>19.227</v>
      </c>
      <c r="J18" s="9" t="n">
        <v>11.662</v>
      </c>
      <c r="K18" s="9" t="n">
        <v>6.462</v>
      </c>
      <c r="L18" s="9" t="n">
        <v>4.875</v>
      </c>
      <c r="M18" s="9" t="n">
        <v>77.04000000000001</v>
      </c>
    </row>
    <row r="19">
      <c r="A19" s="8" t="n">
        <v>13</v>
      </c>
      <c r="B19" s="8" t="inlineStr">
        <is>
          <t>武隆区</t>
        </is>
      </c>
      <c r="C19" s="8" t="n">
        <v>76.51000000000001</v>
      </c>
      <c r="D19" s="8" t="n">
        <v>77.43000000000001</v>
      </c>
      <c r="E19" s="8" t="n">
        <v>73.51000000000001</v>
      </c>
      <c r="F19" s="8" t="n">
        <v>87.55</v>
      </c>
      <c r="G19" s="8" t="n">
        <v>72.53</v>
      </c>
      <c r="H19" s="8" t="n">
        <v>34.429</v>
      </c>
      <c r="I19" s="8" t="n">
        <v>19.359</v>
      </c>
      <c r="J19" s="8" t="n">
        <v>11.027</v>
      </c>
      <c r="K19" s="8" t="n">
        <v>7.004</v>
      </c>
      <c r="L19" s="8" t="n">
        <v>5.077</v>
      </c>
      <c r="M19" s="8" t="n">
        <v>76.90000000000001</v>
      </c>
    </row>
    <row r="20">
      <c r="A20" s="9" t="n">
        <v>14</v>
      </c>
      <c r="B20" s="9" t="inlineStr">
        <is>
          <t>南川区</t>
        </is>
      </c>
      <c r="C20" s="9" t="n">
        <v>81.61</v>
      </c>
      <c r="D20" s="9" t="n">
        <v>71.91</v>
      </c>
      <c r="E20" s="9" t="n">
        <v>73.61</v>
      </c>
      <c r="F20" s="9" t="n">
        <v>78.03</v>
      </c>
      <c r="G20" s="9" t="n">
        <v>69.11</v>
      </c>
      <c r="H20" s="9" t="n">
        <v>36.724</v>
      </c>
      <c r="I20" s="9" t="n">
        <v>17.978</v>
      </c>
      <c r="J20" s="9" t="n">
        <v>11.041</v>
      </c>
      <c r="K20" s="9" t="n">
        <v>6.242</v>
      </c>
      <c r="L20" s="9" t="n">
        <v>4.838</v>
      </c>
      <c r="M20" s="9" t="n">
        <v>76.81999999999999</v>
      </c>
    </row>
    <row r="21">
      <c r="A21" s="8" t="n">
        <v>15</v>
      </c>
      <c r="B21" s="8" t="inlineStr">
        <is>
          <t>梁平区</t>
        </is>
      </c>
      <c r="C21" s="8" t="n">
        <v>77.44</v>
      </c>
      <c r="D21" s="8" t="n">
        <v>76.83</v>
      </c>
      <c r="E21" s="8" t="n">
        <v>74.64</v>
      </c>
      <c r="F21" s="8" t="n">
        <v>74.09999999999999</v>
      </c>
      <c r="G21" s="8" t="n">
        <v>69.76000000000001</v>
      </c>
      <c r="H21" s="8" t="n">
        <v>34.849</v>
      </c>
      <c r="I21" s="8" t="n">
        <v>19.207</v>
      </c>
      <c r="J21" s="8" t="n">
        <v>11.196</v>
      </c>
      <c r="K21" s="8" t="n">
        <v>5.928</v>
      </c>
      <c r="L21" s="8" t="n">
        <v>4.883</v>
      </c>
      <c r="M21" s="8" t="n">
        <v>76.06</v>
      </c>
    </row>
    <row r="22">
      <c r="A22" s="9" t="n">
        <v>16</v>
      </c>
      <c r="B22" s="9" t="inlineStr">
        <is>
          <t>黔江区</t>
        </is>
      </c>
      <c r="C22" s="9" t="n">
        <v>77.95</v>
      </c>
      <c r="D22" s="9" t="n">
        <v>73.65000000000001</v>
      </c>
      <c r="E22" s="9" t="n">
        <v>72.01000000000001</v>
      </c>
      <c r="F22" s="9" t="n">
        <v>86.78</v>
      </c>
      <c r="G22" s="9" t="n">
        <v>67.20999999999999</v>
      </c>
      <c r="H22" s="9" t="n">
        <v>35.076</v>
      </c>
      <c r="I22" s="9" t="n">
        <v>18.414</v>
      </c>
      <c r="J22" s="9" t="n">
        <v>10.801</v>
      </c>
      <c r="K22" s="9" t="n">
        <v>6.943</v>
      </c>
      <c r="L22" s="9" t="n">
        <v>4.705</v>
      </c>
      <c r="M22" s="9" t="n">
        <v>75.94</v>
      </c>
    </row>
    <row r="23">
      <c r="A23" s="8" t="n">
        <v>17</v>
      </c>
      <c r="B23" s="8" t="inlineStr">
        <is>
          <t>石柱县</t>
        </is>
      </c>
      <c r="C23" s="8" t="n">
        <v>76.01000000000001</v>
      </c>
      <c r="D23" s="8" t="n">
        <v>76.94</v>
      </c>
      <c r="E23" s="8" t="n">
        <v>69.61</v>
      </c>
      <c r="F23" s="8" t="n">
        <v>88.36</v>
      </c>
      <c r="G23" s="8" t="n">
        <v>69.23</v>
      </c>
      <c r="H23" s="8" t="n">
        <v>34.205</v>
      </c>
      <c r="I23" s="8" t="n">
        <v>19.236</v>
      </c>
      <c r="J23" s="8" t="n">
        <v>10.442</v>
      </c>
      <c r="K23" s="8" t="n">
        <v>7.069</v>
      </c>
      <c r="L23" s="8" t="n">
        <v>4.846</v>
      </c>
      <c r="M23" s="8" t="n">
        <v>75.8</v>
      </c>
    </row>
    <row r="24">
      <c r="A24" s="9" t="n">
        <v>18</v>
      </c>
      <c r="B24" s="9" t="inlineStr">
        <is>
          <t>奉节县</t>
        </is>
      </c>
      <c r="C24" s="9" t="n">
        <v>74.66</v>
      </c>
      <c r="D24" s="9" t="n">
        <v>75.61</v>
      </c>
      <c r="E24" s="9" t="n">
        <v>71.66</v>
      </c>
      <c r="F24" s="9" t="n">
        <v>83.70999999999999</v>
      </c>
      <c r="G24" s="9" t="n">
        <v>69.28</v>
      </c>
      <c r="H24" s="9" t="n">
        <v>33.597</v>
      </c>
      <c r="I24" s="9" t="n">
        <v>18.903</v>
      </c>
      <c r="J24" s="9" t="n">
        <v>10.749</v>
      </c>
      <c r="K24" s="9" t="n">
        <v>6.697</v>
      </c>
      <c r="L24" s="9" t="n">
        <v>4.85</v>
      </c>
      <c r="M24" s="9" t="n">
        <v>74.8</v>
      </c>
    </row>
    <row r="25">
      <c r="A25" s="8" t="n">
        <v>19</v>
      </c>
      <c r="B25" s="8" t="inlineStr">
        <is>
          <t>云阳县</t>
        </is>
      </c>
      <c r="C25" s="8" t="n">
        <v>73.78</v>
      </c>
      <c r="D25" s="8" t="n">
        <v>78.81</v>
      </c>
      <c r="E25" s="8" t="n">
        <v>71.61</v>
      </c>
      <c r="F25" s="8" t="n">
        <v>78.22</v>
      </c>
      <c r="G25" s="8" t="n">
        <v>67.62</v>
      </c>
      <c r="H25" s="8" t="n">
        <v>33.199</v>
      </c>
      <c r="I25" s="8" t="n">
        <v>19.702</v>
      </c>
      <c r="J25" s="8" t="n">
        <v>10.741</v>
      </c>
      <c r="K25" s="8" t="n">
        <v>6.257</v>
      </c>
      <c r="L25" s="8" t="n">
        <v>4.733</v>
      </c>
      <c r="M25" s="8" t="n">
        <v>74.63</v>
      </c>
    </row>
    <row r="26">
      <c r="A26" s="9" t="n">
        <v>20</v>
      </c>
      <c r="B26" s="9" t="inlineStr">
        <is>
          <t>江津区</t>
        </is>
      </c>
      <c r="C26" s="9" t="n">
        <v>72.64</v>
      </c>
      <c r="D26" s="9" t="n">
        <v>74.13</v>
      </c>
      <c r="E26" s="9" t="n">
        <v>75.70999999999999</v>
      </c>
      <c r="F26" s="9" t="n">
        <v>89.79000000000001</v>
      </c>
      <c r="G26" s="9" t="n">
        <v>67.88</v>
      </c>
      <c r="H26" s="9" t="n">
        <v>32.686</v>
      </c>
      <c r="I26" s="9" t="n">
        <v>18.533</v>
      </c>
      <c r="J26" s="9" t="n">
        <v>11.357</v>
      </c>
      <c r="K26" s="9" t="n">
        <v>7.184</v>
      </c>
      <c r="L26" s="9" t="n">
        <v>4.751</v>
      </c>
      <c r="M26" s="9" t="n">
        <v>74.51000000000001</v>
      </c>
    </row>
    <row r="27">
      <c r="A27" s="8" t="n">
        <v>21</v>
      </c>
      <c r="B27" s="8" t="inlineStr">
        <is>
          <t>城口县</t>
        </is>
      </c>
      <c r="C27" s="8" t="n">
        <v>71.51000000000001</v>
      </c>
      <c r="D27" s="8" t="n">
        <v>80.81</v>
      </c>
      <c r="E27" s="8" t="n">
        <v>68.3</v>
      </c>
      <c r="F27" s="8" t="n">
        <v>89.81999999999999</v>
      </c>
      <c r="G27" s="8" t="n">
        <v>66.98</v>
      </c>
      <c r="H27" s="8" t="n">
        <v>32.181</v>
      </c>
      <c r="I27" s="8" t="n">
        <v>20.202</v>
      </c>
      <c r="J27" s="8" t="n">
        <v>10.245</v>
      </c>
      <c r="K27" s="8" t="n">
        <v>7.185</v>
      </c>
      <c r="L27" s="8" t="n">
        <v>4.689</v>
      </c>
      <c r="M27" s="8" t="n">
        <v>74.5</v>
      </c>
    </row>
    <row r="28">
      <c r="A28" s="9" t="n">
        <v>22</v>
      </c>
      <c r="B28" s="9" t="inlineStr">
        <is>
          <t>秀山县</t>
        </is>
      </c>
      <c r="C28" s="9" t="n">
        <v>79.95999999999999</v>
      </c>
      <c r="D28" s="9" t="n">
        <v>70.04000000000001</v>
      </c>
      <c r="E28" s="9" t="n">
        <v>69.11</v>
      </c>
      <c r="F28" s="9" t="n">
        <v>67.89</v>
      </c>
      <c r="G28" s="9" t="n">
        <v>69.56</v>
      </c>
      <c r="H28" s="9" t="n">
        <v>35.98</v>
      </c>
      <c r="I28" s="9" t="n">
        <v>17.51</v>
      </c>
      <c r="J28" s="9" t="n">
        <v>10.367</v>
      </c>
      <c r="K28" s="9" t="n">
        <v>5.431</v>
      </c>
      <c r="L28" s="9" t="n">
        <v>4.869</v>
      </c>
      <c r="M28" s="9" t="n">
        <v>74.16</v>
      </c>
    </row>
    <row r="29">
      <c r="A29" s="8" t="n">
        <v>23</v>
      </c>
      <c r="B29" s="8" t="inlineStr">
        <is>
          <t>彭水县</t>
        </is>
      </c>
      <c r="C29" s="8" t="n">
        <v>74.56</v>
      </c>
      <c r="D29" s="8" t="n">
        <v>71.77</v>
      </c>
      <c r="E29" s="8" t="n">
        <v>72.40000000000001</v>
      </c>
      <c r="F29" s="8" t="n">
        <v>85.34999999999999</v>
      </c>
      <c r="G29" s="8" t="n">
        <v>66.19</v>
      </c>
      <c r="H29" s="8" t="n">
        <v>33.55</v>
      </c>
      <c r="I29" s="8" t="n">
        <v>17.943</v>
      </c>
      <c r="J29" s="8" t="n">
        <v>10.859</v>
      </c>
      <c r="K29" s="8" t="n">
        <v>6.828</v>
      </c>
      <c r="L29" s="8" t="n">
        <v>4.633</v>
      </c>
      <c r="M29" s="8" t="n">
        <v>73.81</v>
      </c>
    </row>
    <row r="30">
      <c r="A30" s="9" t="n">
        <v>24</v>
      </c>
      <c r="B30" s="9" t="inlineStr">
        <is>
          <t>忠县</t>
        </is>
      </c>
      <c r="C30" s="9" t="n">
        <v>70.94</v>
      </c>
      <c r="D30" s="9" t="n">
        <v>76.54000000000001</v>
      </c>
      <c r="E30" s="9" t="n">
        <v>75.09999999999999</v>
      </c>
      <c r="F30" s="9" t="n">
        <v>74.23</v>
      </c>
      <c r="G30" s="9" t="n">
        <v>68.13</v>
      </c>
      <c r="H30" s="9" t="n">
        <v>31.921</v>
      </c>
      <c r="I30" s="9" t="n">
        <v>19.136</v>
      </c>
      <c r="J30" s="9" t="n">
        <v>11.265</v>
      </c>
      <c r="K30" s="9" t="n">
        <v>5.939</v>
      </c>
      <c r="L30" s="9" t="n">
        <v>4.769</v>
      </c>
      <c r="M30" s="9" t="n">
        <v>73.03</v>
      </c>
    </row>
    <row r="31">
      <c r="A31" s="8" t="n">
        <v>25</v>
      </c>
      <c r="B31" s="8" t="inlineStr">
        <is>
          <t>巫溪县</t>
        </is>
      </c>
      <c r="C31" s="8" t="n">
        <v>73.48999999999999</v>
      </c>
      <c r="D31" s="8" t="n">
        <v>69.59999999999999</v>
      </c>
      <c r="E31" s="8" t="n">
        <v>69.48999999999999</v>
      </c>
      <c r="F31" s="8" t="n">
        <v>90.73999999999999</v>
      </c>
      <c r="G31" s="8" t="n">
        <v>67.36</v>
      </c>
      <c r="H31" s="8" t="n">
        <v>33.07</v>
      </c>
      <c r="I31" s="8" t="n">
        <v>17.401</v>
      </c>
      <c r="J31" s="8" t="n">
        <v>10.424</v>
      </c>
      <c r="K31" s="8" t="n">
        <v>7.259</v>
      </c>
      <c r="L31" s="8" t="n">
        <v>4.716</v>
      </c>
      <c r="M31" s="8" t="n">
        <v>72.87</v>
      </c>
    </row>
    <row r="32">
      <c r="A32" s="9" t="n">
        <v>26</v>
      </c>
      <c r="B32" s="9" t="inlineStr">
        <is>
          <t>酉阳县</t>
        </is>
      </c>
      <c r="C32" s="9" t="n">
        <v>74.56999999999999</v>
      </c>
      <c r="D32" s="9" t="n">
        <v>67.69</v>
      </c>
      <c r="E32" s="9" t="n">
        <v>71.81999999999999</v>
      </c>
      <c r="F32" s="9" t="n">
        <v>84.64</v>
      </c>
      <c r="G32" s="9" t="n">
        <v>68.61</v>
      </c>
      <c r="H32" s="9" t="n">
        <v>33.558</v>
      </c>
      <c r="I32" s="9" t="n">
        <v>16.922</v>
      </c>
      <c r="J32" s="9" t="n">
        <v>10.773</v>
      </c>
      <c r="K32" s="9" t="n">
        <v>6.771</v>
      </c>
      <c r="L32" s="9" t="n">
        <v>4.803</v>
      </c>
      <c r="M32" s="9" t="n">
        <v>72.83</v>
      </c>
    </row>
    <row r="33">
      <c r="A33" s="8" t="n">
        <v>27</v>
      </c>
      <c r="B33" s="8" t="inlineStr">
        <is>
          <t>潼南区</t>
        </is>
      </c>
      <c r="C33" s="8" t="n">
        <v>74.28</v>
      </c>
      <c r="D33" s="8" t="n">
        <v>73.58</v>
      </c>
      <c r="E33" s="8" t="n">
        <v>68.81999999999999</v>
      </c>
      <c r="F33" s="8" t="n">
        <v>69.98999999999999</v>
      </c>
      <c r="G33" s="8" t="n">
        <v>70.93000000000001</v>
      </c>
      <c r="H33" s="8" t="n">
        <v>33.428</v>
      </c>
      <c r="I33" s="8" t="n">
        <v>18.394</v>
      </c>
      <c r="J33" s="8" t="n">
        <v>10.323</v>
      </c>
      <c r="K33" s="8" t="n">
        <v>5.599</v>
      </c>
      <c r="L33" s="8" t="n">
        <v>4.965</v>
      </c>
      <c r="M33" s="8" t="n">
        <v>72.70999999999999</v>
      </c>
    </row>
    <row r="34">
      <c r="A34" s="9" t="n">
        <v>28</v>
      </c>
      <c r="B34" s="9" t="inlineStr">
        <is>
          <t>合川区</t>
        </is>
      </c>
      <c r="C34" s="9" t="n">
        <v>71.73</v>
      </c>
      <c r="D34" s="9" t="n">
        <v>72.79000000000001</v>
      </c>
      <c r="E34" s="9" t="n">
        <v>72.23999999999999</v>
      </c>
      <c r="F34" s="9" t="n">
        <v>77.45999999999999</v>
      </c>
      <c r="G34" s="9" t="n">
        <v>67.63</v>
      </c>
      <c r="H34" s="9" t="n">
        <v>32.278</v>
      </c>
      <c r="I34" s="9" t="n">
        <v>18.198</v>
      </c>
      <c r="J34" s="9" t="n">
        <v>10.836</v>
      </c>
      <c r="K34" s="9" t="n">
        <v>6.197</v>
      </c>
      <c r="L34" s="9" t="n">
        <v>4.734</v>
      </c>
      <c r="M34" s="9" t="n">
        <v>72.23999999999999</v>
      </c>
    </row>
    <row r="35">
      <c r="A35" s="8" t="n">
        <v>29</v>
      </c>
      <c r="B35" s="8" t="inlineStr">
        <is>
          <t>大足区</t>
        </is>
      </c>
      <c r="C35" s="8" t="n">
        <v>71.95</v>
      </c>
      <c r="D35" s="8" t="n">
        <v>71.68000000000001</v>
      </c>
      <c r="E35" s="8" t="n">
        <v>69.83</v>
      </c>
      <c r="F35" s="8" t="n">
        <v>80.13</v>
      </c>
      <c r="G35" s="8" t="n">
        <v>68.81</v>
      </c>
      <c r="H35" s="8" t="n">
        <v>32.376</v>
      </c>
      <c r="I35" s="8" t="n">
        <v>17.92</v>
      </c>
      <c r="J35" s="8" t="n">
        <v>10.474</v>
      </c>
      <c r="K35" s="8" t="n">
        <v>6.411</v>
      </c>
      <c r="L35" s="8" t="n">
        <v>4.816</v>
      </c>
      <c r="M35" s="8" t="n">
        <v>72</v>
      </c>
    </row>
    <row r="36">
      <c r="A36" s="9" t="n">
        <v>30</v>
      </c>
      <c r="B36" s="9" t="inlineStr">
        <is>
          <t>铜梁区</t>
        </is>
      </c>
      <c r="C36" s="9" t="n">
        <v>68.55</v>
      </c>
      <c r="D36" s="9" t="n">
        <v>77.26000000000001</v>
      </c>
      <c r="E36" s="9" t="n">
        <v>70.56999999999999</v>
      </c>
      <c r="F36" s="9" t="n">
        <v>77.7</v>
      </c>
      <c r="G36" s="9" t="n">
        <v>67.19</v>
      </c>
      <c r="H36" s="9" t="n">
        <v>30.845</v>
      </c>
      <c r="I36" s="9" t="n">
        <v>19.316</v>
      </c>
      <c r="J36" s="9" t="n">
        <v>10.585</v>
      </c>
      <c r="K36" s="9" t="n">
        <v>6.216</v>
      </c>
      <c r="L36" s="9" t="n">
        <v>4.703</v>
      </c>
      <c r="M36" s="9" t="n">
        <v>71.67</v>
      </c>
    </row>
    <row r="37">
      <c r="A37" s="8" t="n">
        <v>31</v>
      </c>
      <c r="B37" s="8" t="inlineStr">
        <is>
          <t>万盛经开区</t>
        </is>
      </c>
      <c r="C37" s="8" t="n">
        <v>67.62</v>
      </c>
      <c r="D37" s="8" t="n">
        <v>75.92</v>
      </c>
      <c r="E37" s="8" t="n">
        <v>68.3</v>
      </c>
      <c r="F37" s="8" t="n">
        <v>83.42</v>
      </c>
      <c r="G37" s="8" t="n">
        <v>70.43000000000001</v>
      </c>
      <c r="H37" s="8" t="n">
        <v>30.431</v>
      </c>
      <c r="I37" s="8" t="n">
        <v>18.98</v>
      </c>
      <c r="J37" s="8" t="n">
        <v>10.245</v>
      </c>
      <c r="K37" s="8" t="n">
        <v>6.673</v>
      </c>
      <c r="L37" s="8" t="n">
        <v>4.93</v>
      </c>
      <c r="M37" s="8" t="n">
        <v>71.26000000000001</v>
      </c>
    </row>
    <row r="38">
      <c r="A38" s="9" t="n">
        <v>32</v>
      </c>
      <c r="B38" s="9" t="inlineStr">
        <is>
          <t>沙坪坝区</t>
        </is>
      </c>
      <c r="C38" s="9" t="n">
        <v>66.59</v>
      </c>
      <c r="D38" s="9" t="n">
        <v>76.87</v>
      </c>
      <c r="E38" s="9" t="n">
        <v>72.61</v>
      </c>
      <c r="F38" s="9" t="n">
        <v>79.15000000000001</v>
      </c>
      <c r="G38" s="9" t="n">
        <v>69.01000000000001</v>
      </c>
      <c r="H38" s="9" t="n">
        <v>29.965</v>
      </c>
      <c r="I38" s="9" t="n">
        <v>19.218</v>
      </c>
      <c r="J38" s="9" t="n">
        <v>10.892</v>
      </c>
      <c r="K38" s="9" t="n">
        <v>6.332</v>
      </c>
      <c r="L38" s="9" t="n">
        <v>4.831</v>
      </c>
      <c r="M38" s="9" t="n">
        <v>71.23999999999999</v>
      </c>
    </row>
    <row r="39">
      <c r="A39" s="8" t="n">
        <v>33</v>
      </c>
      <c r="B39" s="8" t="inlineStr">
        <is>
          <t>綦江区</t>
        </is>
      </c>
      <c r="C39" s="8" t="n">
        <v>69.05</v>
      </c>
      <c r="D39" s="8" t="n">
        <v>69.26000000000001</v>
      </c>
      <c r="E39" s="8" t="n">
        <v>68.94</v>
      </c>
      <c r="F39" s="8" t="n">
        <v>78.73</v>
      </c>
      <c r="G39" s="8" t="n">
        <v>86.87</v>
      </c>
      <c r="H39" s="8" t="n">
        <v>31.074</v>
      </c>
      <c r="I39" s="8" t="n">
        <v>17.315</v>
      </c>
      <c r="J39" s="8" t="n">
        <v>10.341</v>
      </c>
      <c r="K39" s="8" t="n">
        <v>6.298</v>
      </c>
      <c r="L39" s="8" t="n">
        <v>6.081</v>
      </c>
      <c r="M39" s="8" t="n">
        <v>71.11</v>
      </c>
    </row>
    <row r="40">
      <c r="A40" s="9" t="n">
        <v>34</v>
      </c>
      <c r="B40" s="9" t="inlineStr">
        <is>
          <t>大渡口区</t>
        </is>
      </c>
      <c r="C40" s="9" t="n">
        <v>68.31</v>
      </c>
      <c r="D40" s="9" t="n">
        <v>73.17</v>
      </c>
      <c r="E40" s="9" t="n">
        <v>73.25</v>
      </c>
      <c r="F40" s="9" t="n">
        <v>76.58</v>
      </c>
      <c r="G40" s="9" t="n">
        <v>70.88</v>
      </c>
      <c r="H40" s="9" t="n">
        <v>30.741</v>
      </c>
      <c r="I40" s="9" t="n">
        <v>18.291</v>
      </c>
      <c r="J40" s="9" t="n">
        <v>10.988</v>
      </c>
      <c r="K40" s="9" t="n">
        <v>6.126</v>
      </c>
      <c r="L40" s="9" t="n">
        <v>4.961</v>
      </c>
      <c r="M40" s="9" t="n">
        <v>71.11</v>
      </c>
    </row>
    <row r="41">
      <c r="A41" s="8" t="n">
        <v>35</v>
      </c>
      <c r="B41" s="8" t="inlineStr">
        <is>
          <t>荣昌区</t>
        </is>
      </c>
      <c r="C41" s="8" t="n">
        <v>72.42</v>
      </c>
      <c r="D41" s="8" t="n">
        <v>68.67</v>
      </c>
      <c r="E41" s="8" t="n">
        <v>71.91</v>
      </c>
      <c r="F41" s="8" t="n">
        <v>71.45999999999999</v>
      </c>
      <c r="G41" s="8" t="n">
        <v>68.77</v>
      </c>
      <c r="H41" s="8" t="n">
        <v>32.589</v>
      </c>
      <c r="I41" s="8" t="n">
        <v>17.168</v>
      </c>
      <c r="J41" s="8" t="n">
        <v>10.787</v>
      </c>
      <c r="K41" s="8" t="n">
        <v>5.717</v>
      </c>
      <c r="L41" s="8" t="n">
        <v>4.814</v>
      </c>
      <c r="M41" s="8" t="n">
        <v>71.06999999999999</v>
      </c>
    </row>
    <row r="42">
      <c r="A42" s="9" t="n">
        <v>36</v>
      </c>
      <c r="B42" s="9" t="inlineStr">
        <is>
          <t>丰都县</t>
        </is>
      </c>
      <c r="C42" s="9" t="n">
        <v>69.56999999999999</v>
      </c>
      <c r="D42" s="9" t="n">
        <v>71.01000000000001</v>
      </c>
      <c r="E42" s="9" t="n">
        <v>71.39</v>
      </c>
      <c r="F42" s="9" t="n">
        <v>75.08</v>
      </c>
      <c r="G42" s="9" t="n">
        <v>68.62</v>
      </c>
      <c r="H42" s="9" t="n">
        <v>31.307</v>
      </c>
      <c r="I42" s="9" t="n">
        <v>17.753</v>
      </c>
      <c r="J42" s="9" t="n">
        <v>10.709</v>
      </c>
      <c r="K42" s="9" t="n">
        <v>6.006</v>
      </c>
      <c r="L42" s="9" t="n">
        <v>4.803</v>
      </c>
      <c r="M42" s="9" t="n">
        <v>70.58</v>
      </c>
    </row>
    <row r="43">
      <c r="A43" s="8" t="n">
        <v>37</v>
      </c>
      <c r="B43" s="8" t="inlineStr">
        <is>
          <t>科学城重庆高新区</t>
        </is>
      </c>
      <c r="C43" s="8" t="n">
        <v>68.75</v>
      </c>
      <c r="D43" s="8" t="n">
        <v>74.65000000000001</v>
      </c>
      <c r="E43" s="8" t="n">
        <v>70.86</v>
      </c>
      <c r="F43" s="8" t="n">
        <v>67.79000000000001</v>
      </c>
      <c r="G43" s="8" t="n">
        <v>67.25</v>
      </c>
      <c r="H43" s="8" t="n">
        <v>30.938</v>
      </c>
      <c r="I43" s="8" t="n">
        <v>18.664</v>
      </c>
      <c r="J43" s="8" t="n">
        <v>10.628</v>
      </c>
      <c r="K43" s="8" t="n">
        <v>5.423</v>
      </c>
      <c r="L43" s="8" t="n">
        <v>4.708</v>
      </c>
      <c r="M43" s="8" t="n">
        <v>70.36</v>
      </c>
    </row>
    <row r="44">
      <c r="A44" s="9" t="n">
        <v>38</v>
      </c>
      <c r="B44" s="9" t="inlineStr">
        <is>
          <t>璧山区</t>
        </is>
      </c>
      <c r="C44" s="9" t="n">
        <v>67.52</v>
      </c>
      <c r="D44" s="9" t="n">
        <v>71.31999999999999</v>
      </c>
      <c r="E44" s="9" t="n">
        <v>70.5</v>
      </c>
      <c r="F44" s="9" t="n">
        <v>77.08</v>
      </c>
      <c r="G44" s="9" t="n">
        <v>68.81999999999999</v>
      </c>
      <c r="H44" s="9" t="n">
        <v>30.384</v>
      </c>
      <c r="I44" s="9" t="n">
        <v>17.829</v>
      </c>
      <c r="J44" s="9" t="n">
        <v>10.575</v>
      </c>
      <c r="K44" s="9" t="n">
        <v>6.167</v>
      </c>
      <c r="L44" s="9" t="n">
        <v>4.817</v>
      </c>
      <c r="M44" s="9" t="n">
        <v>69.77</v>
      </c>
    </row>
    <row r="45">
      <c r="A45" s="8" t="n">
        <v>39</v>
      </c>
      <c r="B45" s="8" t="inlineStr">
        <is>
          <t>垫江县</t>
        </is>
      </c>
      <c r="C45" s="8" t="n">
        <v>69.90000000000001</v>
      </c>
      <c r="D45" s="8" t="n">
        <v>65.95</v>
      </c>
      <c r="E45" s="8" t="n">
        <v>67.65000000000001</v>
      </c>
      <c r="F45" s="8" t="n">
        <v>77.43000000000001</v>
      </c>
      <c r="G45" s="8" t="n">
        <v>67.86</v>
      </c>
      <c r="H45" s="8" t="n">
        <v>31.455</v>
      </c>
      <c r="I45" s="8" t="n">
        <v>16.488</v>
      </c>
      <c r="J45" s="8" t="n">
        <v>10.147</v>
      </c>
      <c r="K45" s="8" t="n">
        <v>6.194</v>
      </c>
      <c r="L45" s="8" t="n">
        <v>4.75</v>
      </c>
      <c r="M45" s="8" t="n">
        <v>69.03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2026-05-26T07:15:22Z</dcterms:created>
  <dcterms:modified xmlns:dcterms="http://purl.org/dc/terms/" xmlns:xsi="http://www.w3.org/2001/XMLSchema-instance" xsi:type="dcterms:W3CDTF">2026-05-26T07:15:23Z</dcterms:modified>
</cp:coreProperties>
</file>